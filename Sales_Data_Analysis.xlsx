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ksh\Downloads\"/>
    </mc:Choice>
  </mc:AlternateContent>
  <xr:revisionPtr revIDLastSave="0" documentId="13_ncr:1_{FEEEB7C2-9995-49CF-829E-40EB37459B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" sheetId="1" r:id="rId1"/>
    <sheet name="Sheet1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2" i="2"/>
  <c r="H4" i="2"/>
  <c r="H3" i="2"/>
  <c r="H2" i="2"/>
  <c r="E7" i="2"/>
  <c r="E6" i="2"/>
  <c r="E5" i="2"/>
  <c r="E4" i="2"/>
  <c r="E3" i="2"/>
  <c r="E2" i="2"/>
  <c r="B5" i="2"/>
  <c r="B4" i="2"/>
  <c r="B3" i="2"/>
  <c r="B2" i="2"/>
</calcChain>
</file>

<file path=xl/sharedStrings.xml><?xml version="1.0" encoding="utf-8"?>
<sst xmlns="http://schemas.openxmlformats.org/spreadsheetml/2006/main" count="640" uniqueCount="32">
  <si>
    <t>Order ID</t>
  </si>
  <si>
    <t>Order Date</t>
  </si>
  <si>
    <t>Product</t>
  </si>
  <si>
    <t>Category</t>
  </si>
  <si>
    <t>Quantity</t>
  </si>
  <si>
    <t>Unit Price</t>
  </si>
  <si>
    <t>Sales</t>
  </si>
  <si>
    <t>Mouse</t>
  </si>
  <si>
    <t>Accessories</t>
  </si>
  <si>
    <t>Office Chair</t>
  </si>
  <si>
    <t>Furniture</t>
  </si>
  <si>
    <t>Mobile</t>
  </si>
  <si>
    <t>Electronics</t>
  </si>
  <si>
    <t>Headphones</t>
  </si>
  <si>
    <t>Tablet</t>
  </si>
  <si>
    <t>Laptop</t>
  </si>
  <si>
    <t>Keyboard</t>
  </si>
  <si>
    <t>Desk</t>
  </si>
  <si>
    <t>Sales Analysis</t>
  </si>
  <si>
    <t>Total Sales</t>
  </si>
  <si>
    <t>Total Quantity</t>
  </si>
  <si>
    <t>Total Orders</t>
  </si>
  <si>
    <t>Average Sales Per Order</t>
  </si>
  <si>
    <t>Month</t>
  </si>
  <si>
    <t>January</t>
  </si>
  <si>
    <t>February</t>
  </si>
  <si>
    <t>March</t>
  </si>
  <si>
    <t>April</t>
  </si>
  <si>
    <t>May</t>
  </si>
  <si>
    <t>June</t>
  </si>
  <si>
    <t>SALES ANALYSIS DASHBOARD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</si>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</sst>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2" xfId="0" applyFont="1" applyBorder="1" applyAlignment="1">
      <alignment vertical="center" wrapText="1"/>
    </xf>
    <xf numFmtId="4" fontId="0" fillId="0" borderId="3" xfId="0" applyNumberForma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4" fontId="0" fillId="0" borderId="7" xfId="0" applyNumberForma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Arial Black" panose="020B0A04020102020204" pitchFamily="34" charset="0"/>
              </a:rPr>
              <a:t>Monthly</a:t>
            </a:r>
            <a:r>
              <a:rPr lang="en-US" sz="1800" b="1" baseline="0">
                <a:latin typeface="Arial Black" panose="020B0A04020102020204" pitchFamily="34" charset="0"/>
              </a:rPr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04571218480958"/>
          <c:y val="0.19431457254613602"/>
          <c:w val="0.83953018372703414"/>
          <c:h val="0.68556502651748996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Sheet1!$D$2:$D$7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3687420.7400000007</c:v>
                </c:pt>
                <c:pt idx="1">
                  <c:v>2407105.9700000007</c:v>
                </c:pt>
                <c:pt idx="2">
                  <c:v>3029946.6199999996</c:v>
                </c:pt>
                <c:pt idx="3">
                  <c:v>3255909.350000001</c:v>
                </c:pt>
                <c:pt idx="4">
                  <c:v>3160555.6499999994</c:v>
                </c:pt>
                <c:pt idx="5">
                  <c:v>2831847.61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C-4FCC-82CC-E7D2DDC7D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142143"/>
        <c:axId val="1449944687"/>
      </c:lineChart>
      <c:catAx>
        <c:axId val="95314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944687"/>
        <c:crosses val="autoZero"/>
        <c:auto val="1"/>
        <c:lblAlgn val="ctr"/>
        <c:lblOffset val="100"/>
        <c:noMultiLvlLbl val="0"/>
      </c:catAx>
      <c:valAx>
        <c:axId val="144994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4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Arial Black" panose="020B0A04020102020204" pitchFamily="34" charset="0"/>
              </a:rPr>
              <a:t>Category-Wise</a:t>
            </a:r>
            <a:r>
              <a:rPr lang="en-US" sz="1800" b="1" baseline="0">
                <a:latin typeface="Arial Black" panose="020B0A04020102020204" pitchFamily="34" charset="0"/>
              </a:rPr>
              <a:t> Sales</a:t>
            </a:r>
            <a:endParaRPr lang="en-US" sz="1800" b="1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252252559339173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00483647409244"/>
          <c:y val="0.17171296296296298"/>
          <c:w val="0.6764820549116753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14304649.160000006</c:v>
                </c:pt>
                <c:pt idx="1">
                  <c:v>3078949.4499999997</c:v>
                </c:pt>
                <c:pt idx="2">
                  <c:v>989187.33000000007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2-4B96-BDF2-6D71838EE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7540383"/>
        <c:axId val="1450049327"/>
      </c:barChart>
      <c:catAx>
        <c:axId val="162754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49327"/>
        <c:crosses val="autoZero"/>
        <c:auto val="1"/>
        <c:lblAlgn val="ctr"/>
        <c:lblOffset val="100"/>
        <c:noMultiLvlLbl val="0"/>
      </c:catAx>
      <c:valAx>
        <c:axId val="145004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4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Arial Black" panose="020B0A04020102020204" pitchFamily="34" charset="0"/>
              </a:rPr>
              <a:t>Product</a:t>
            </a:r>
            <a:r>
              <a:rPr lang="en-IN" sz="1600" b="1" baseline="0">
                <a:latin typeface="Arial Black" panose="020B0A04020102020204" pitchFamily="34" charset="0"/>
              </a:rPr>
              <a:t> Wise Sales Analysis</a:t>
            </a:r>
            <a:endParaRPr lang="en-IN" sz="1600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Sheet1!$M$2:$M$9</c:f>
              <c:strCache>
                <c:ptCount val="8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Headphones</c:v>
                </c:pt>
                <c:pt idx="4">
                  <c:v>Mouse</c:v>
                </c:pt>
                <c:pt idx="5">
                  <c:v>Keyboard</c:v>
                </c:pt>
                <c:pt idx="6">
                  <c:v>Office Chair</c:v>
                </c:pt>
                <c:pt idx="7">
                  <c:v>Desk</c:v>
                </c:pt>
              </c:strCache>
            </c:strRef>
          </c:cat>
          <c:val>
            <c:numRef>
              <c:f>Sheet1!$N$2:$N$9</c:f>
              <c:numCache>
                <c:formatCode>General</c:formatCode>
                <c:ptCount val="8"/>
                <c:pt idx="0">
                  <c:v>8254867.5699999975</c:v>
                </c:pt>
                <c:pt idx="1">
                  <c:v>3880322.54</c:v>
                </c:pt>
                <c:pt idx="2">
                  <c:v>2169459.0500000003</c:v>
                </c:pt>
                <c:pt idx="3">
                  <c:v>469438.64000000007</c:v>
                </c:pt>
                <c:pt idx="4">
                  <c:v>220975.21000000002</c:v>
                </c:pt>
                <c:pt idx="5">
                  <c:v>298773.48</c:v>
                </c:pt>
                <c:pt idx="6">
                  <c:v>1450840.7900000003</c:v>
                </c:pt>
                <c:pt idx="7">
                  <c:v>1628108.6600000004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4-4735-8995-5C69DFA52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9205648"/>
        <c:axId val="573460464"/>
      </c:barChart>
      <c:catAx>
        <c:axId val="87920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60464"/>
        <c:crosses val="autoZero"/>
        <c:auto val="1"/>
        <c:lblAlgn val="ctr"/>
        <c:lblOffset val="100"/>
        <c:noMultiLvlLbl val="0"/>
      </c:catAx>
      <c:valAx>
        <c:axId val="5734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20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0</xdr:rowOff>
    </xdr:from>
    <xdr:to>
      <xdr:col>4</xdr:col>
      <xdr:colOff>335280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9CA0F-5A69-489F-B78C-7D2652FDC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8</xdr:row>
      <xdr:rowOff>0</xdr:rowOff>
    </xdr:from>
    <xdr:to>
      <xdr:col>10</xdr:col>
      <xdr:colOff>464820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D69DA-BD0C-42DA-B17B-899B2BBFA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601980</xdr:colOff>
      <xdr:row>8</xdr:row>
      <xdr:rowOff>15240</xdr:rowOff>
    </xdr:from>
    <xdr:to>
      <xdr:col>18</xdr:col>
      <xdr:colOff>22860</xdr:colOff>
      <xdr:row>24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E942A4-1EBB-4396-A953-73F2B46CF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7" sqref="D7"/>
    </sheetView>
  </sheetViews>
  <sheetFormatPr defaultRowHeight="14.4" x14ac:dyDescent="0.3"/>
  <cols>
    <col min="1" max="1" width="8" bestFit="1" customWidth="1"/>
    <col min="2" max="2" width="10.33203125" style="3" bestFit="1" customWidth="1"/>
    <col min="3" max="3" width="11.109375" bestFit="1" customWidth="1"/>
    <col min="4" max="4" width="10.4414062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1108</v>
      </c>
      <c r="B2" s="3">
        <v>46023</v>
      </c>
      <c r="C2" t="s">
        <v>7</v>
      </c>
      <c r="D2" t="s">
        <v>8</v>
      </c>
      <c r="E2">
        <v>5</v>
      </c>
      <c r="F2">
        <v>847.83</v>
      </c>
      <c r="G2">
        <v>4239.1499999999996</v>
      </c>
    </row>
    <row r="3" spans="1:7" x14ac:dyDescent="0.3">
      <c r="A3">
        <v>1057</v>
      </c>
      <c r="B3" s="3">
        <v>46023</v>
      </c>
      <c r="C3" t="s">
        <v>9</v>
      </c>
      <c r="D3" t="s">
        <v>10</v>
      </c>
      <c r="E3">
        <v>5</v>
      </c>
      <c r="F3">
        <v>9225.08</v>
      </c>
      <c r="G3">
        <v>46125.4</v>
      </c>
    </row>
    <row r="4" spans="1:7" x14ac:dyDescent="0.3">
      <c r="A4">
        <v>1043</v>
      </c>
      <c r="B4" s="3">
        <v>46024</v>
      </c>
      <c r="C4" t="s">
        <v>11</v>
      </c>
      <c r="D4" t="s">
        <v>12</v>
      </c>
      <c r="E4">
        <v>1</v>
      </c>
      <c r="F4">
        <v>20807.34</v>
      </c>
      <c r="G4">
        <v>20807.34</v>
      </c>
    </row>
    <row r="5" spans="1:7" x14ac:dyDescent="0.3">
      <c r="A5">
        <v>1255</v>
      </c>
      <c r="B5" s="3">
        <v>46026</v>
      </c>
      <c r="C5" t="s">
        <v>7</v>
      </c>
      <c r="D5" t="s">
        <v>8</v>
      </c>
      <c r="E5">
        <v>2</v>
      </c>
      <c r="F5">
        <v>891.86</v>
      </c>
      <c r="G5">
        <v>1783.72</v>
      </c>
    </row>
    <row r="6" spans="1:7" x14ac:dyDescent="0.3">
      <c r="A6">
        <v>1210</v>
      </c>
      <c r="B6" s="3">
        <v>46026</v>
      </c>
      <c r="C6" t="s">
        <v>9</v>
      </c>
      <c r="D6" t="s">
        <v>10</v>
      </c>
      <c r="E6">
        <v>2</v>
      </c>
      <c r="F6">
        <v>8031.99</v>
      </c>
      <c r="G6">
        <v>16063.98</v>
      </c>
    </row>
    <row r="7" spans="1:7" x14ac:dyDescent="0.3">
      <c r="A7">
        <v>1005</v>
      </c>
      <c r="B7" s="3">
        <v>46029</v>
      </c>
      <c r="C7" t="s">
        <v>13</v>
      </c>
      <c r="D7" t="s">
        <v>8</v>
      </c>
      <c r="E7">
        <v>7</v>
      </c>
      <c r="F7">
        <v>2360.2199999999998</v>
      </c>
      <c r="G7">
        <v>16521.54</v>
      </c>
    </row>
    <row r="8" spans="1:7" x14ac:dyDescent="0.3">
      <c r="A8">
        <v>1148</v>
      </c>
      <c r="B8" s="3">
        <v>46029</v>
      </c>
      <c r="C8" t="s">
        <v>7</v>
      </c>
      <c r="D8" t="s">
        <v>8</v>
      </c>
      <c r="E8">
        <v>7</v>
      </c>
      <c r="F8">
        <v>881.4</v>
      </c>
      <c r="G8">
        <v>6169.8</v>
      </c>
    </row>
    <row r="9" spans="1:7" x14ac:dyDescent="0.3">
      <c r="A9">
        <v>1196</v>
      </c>
      <c r="B9" s="3">
        <v>46029</v>
      </c>
      <c r="C9" t="s">
        <v>11</v>
      </c>
      <c r="D9" t="s">
        <v>12</v>
      </c>
      <c r="E9">
        <v>4</v>
      </c>
      <c r="F9">
        <v>24032.41</v>
      </c>
      <c r="G9">
        <v>96129.64</v>
      </c>
    </row>
    <row r="10" spans="1:7" x14ac:dyDescent="0.3">
      <c r="A10">
        <v>1089</v>
      </c>
      <c r="B10" s="3">
        <v>46029</v>
      </c>
      <c r="C10" t="s">
        <v>14</v>
      </c>
      <c r="D10" t="s">
        <v>12</v>
      </c>
      <c r="E10">
        <v>6</v>
      </c>
      <c r="F10">
        <v>19016.59</v>
      </c>
      <c r="G10">
        <v>114099.54</v>
      </c>
    </row>
    <row r="11" spans="1:7" x14ac:dyDescent="0.3">
      <c r="A11">
        <v>1282</v>
      </c>
      <c r="B11" s="3">
        <v>46030</v>
      </c>
      <c r="C11" t="s">
        <v>15</v>
      </c>
      <c r="D11" t="s">
        <v>12</v>
      </c>
      <c r="E11">
        <v>8</v>
      </c>
      <c r="F11">
        <v>58820.28</v>
      </c>
      <c r="G11">
        <v>470562.24</v>
      </c>
    </row>
    <row r="12" spans="1:7" x14ac:dyDescent="0.3">
      <c r="A12">
        <v>1248</v>
      </c>
      <c r="B12" s="3">
        <v>46031</v>
      </c>
      <c r="C12" t="s">
        <v>16</v>
      </c>
      <c r="D12" t="s">
        <v>8</v>
      </c>
      <c r="E12">
        <v>3</v>
      </c>
      <c r="F12">
        <v>1377.04</v>
      </c>
      <c r="G12">
        <v>4131.12</v>
      </c>
    </row>
    <row r="13" spans="1:7" x14ac:dyDescent="0.3">
      <c r="A13">
        <v>1044</v>
      </c>
      <c r="B13" s="3">
        <v>46031</v>
      </c>
      <c r="C13" t="s">
        <v>16</v>
      </c>
      <c r="D13" t="s">
        <v>8</v>
      </c>
      <c r="E13">
        <v>2</v>
      </c>
      <c r="F13">
        <v>1504.25</v>
      </c>
      <c r="G13">
        <v>3008.5</v>
      </c>
    </row>
    <row r="14" spans="1:7" x14ac:dyDescent="0.3">
      <c r="A14">
        <v>1223</v>
      </c>
      <c r="B14" s="3">
        <v>46032</v>
      </c>
      <c r="C14" t="s">
        <v>14</v>
      </c>
      <c r="D14" t="s">
        <v>12</v>
      </c>
      <c r="E14">
        <v>6</v>
      </c>
      <c r="F14">
        <v>19330.919999999998</v>
      </c>
      <c r="G14">
        <v>115985.52</v>
      </c>
    </row>
    <row r="15" spans="1:7" x14ac:dyDescent="0.3">
      <c r="A15">
        <v>1195</v>
      </c>
      <c r="B15" s="3">
        <v>46033</v>
      </c>
      <c r="C15" t="s">
        <v>9</v>
      </c>
      <c r="D15" t="s">
        <v>10</v>
      </c>
      <c r="E15">
        <v>6</v>
      </c>
      <c r="F15">
        <v>8676.31</v>
      </c>
      <c r="G15">
        <v>52057.86</v>
      </c>
    </row>
    <row r="16" spans="1:7" x14ac:dyDescent="0.3">
      <c r="A16">
        <v>1013</v>
      </c>
      <c r="B16" s="3">
        <v>46034</v>
      </c>
      <c r="C16" t="s">
        <v>13</v>
      </c>
      <c r="D16" t="s">
        <v>8</v>
      </c>
      <c r="E16">
        <v>5</v>
      </c>
      <c r="F16">
        <v>2742.61</v>
      </c>
      <c r="G16">
        <v>13713.05</v>
      </c>
    </row>
    <row r="17" spans="1:7" x14ac:dyDescent="0.3">
      <c r="A17">
        <v>1010</v>
      </c>
      <c r="B17" s="3">
        <v>46034</v>
      </c>
      <c r="C17" t="s">
        <v>17</v>
      </c>
      <c r="D17" t="s">
        <v>10</v>
      </c>
      <c r="E17">
        <v>2</v>
      </c>
      <c r="F17">
        <v>13135.48</v>
      </c>
      <c r="G17">
        <v>26270.959999999999</v>
      </c>
    </row>
    <row r="18" spans="1:7" x14ac:dyDescent="0.3">
      <c r="A18">
        <v>1080</v>
      </c>
      <c r="B18" s="3">
        <v>46034</v>
      </c>
      <c r="C18" t="s">
        <v>15</v>
      </c>
      <c r="D18" t="s">
        <v>12</v>
      </c>
      <c r="E18">
        <v>6</v>
      </c>
      <c r="F18">
        <v>57982.31</v>
      </c>
      <c r="G18">
        <v>347893.86</v>
      </c>
    </row>
    <row r="19" spans="1:7" x14ac:dyDescent="0.3">
      <c r="A19">
        <v>1079</v>
      </c>
      <c r="B19" s="3">
        <v>46036</v>
      </c>
      <c r="C19" t="s">
        <v>11</v>
      </c>
      <c r="D19" t="s">
        <v>12</v>
      </c>
      <c r="E19">
        <v>7</v>
      </c>
      <c r="F19">
        <v>23449.13</v>
      </c>
      <c r="G19">
        <v>164143.91</v>
      </c>
    </row>
    <row r="20" spans="1:7" x14ac:dyDescent="0.3">
      <c r="A20">
        <v>1174</v>
      </c>
      <c r="B20" s="3">
        <v>46036</v>
      </c>
      <c r="C20" t="s">
        <v>7</v>
      </c>
      <c r="D20" t="s">
        <v>8</v>
      </c>
      <c r="E20">
        <v>3</v>
      </c>
      <c r="F20">
        <v>924.82</v>
      </c>
      <c r="G20">
        <v>2774.46</v>
      </c>
    </row>
    <row r="21" spans="1:7" x14ac:dyDescent="0.3">
      <c r="A21">
        <v>1049</v>
      </c>
      <c r="B21" s="3">
        <v>46036</v>
      </c>
      <c r="C21" t="s">
        <v>11</v>
      </c>
      <c r="D21" t="s">
        <v>12</v>
      </c>
      <c r="E21">
        <v>1</v>
      </c>
      <c r="F21">
        <v>21571.53</v>
      </c>
      <c r="G21">
        <v>21571.53</v>
      </c>
    </row>
    <row r="22" spans="1:7" x14ac:dyDescent="0.3">
      <c r="A22">
        <v>1177</v>
      </c>
      <c r="B22" s="3">
        <v>46036</v>
      </c>
      <c r="C22" t="s">
        <v>7</v>
      </c>
      <c r="D22" t="s">
        <v>8</v>
      </c>
      <c r="E22">
        <v>8</v>
      </c>
      <c r="F22">
        <v>830.54</v>
      </c>
      <c r="G22">
        <v>6644.32</v>
      </c>
    </row>
    <row r="23" spans="1:7" x14ac:dyDescent="0.3">
      <c r="A23">
        <v>1278</v>
      </c>
      <c r="B23" s="3">
        <v>46036</v>
      </c>
      <c r="C23" t="s">
        <v>14</v>
      </c>
      <c r="D23" t="s">
        <v>12</v>
      </c>
      <c r="E23">
        <v>7</v>
      </c>
      <c r="F23">
        <v>18093.91</v>
      </c>
      <c r="G23">
        <v>126657.37</v>
      </c>
    </row>
    <row r="24" spans="1:7" x14ac:dyDescent="0.3">
      <c r="A24">
        <v>1207</v>
      </c>
      <c r="B24" s="3">
        <v>46036</v>
      </c>
      <c r="C24" t="s">
        <v>13</v>
      </c>
      <c r="D24" t="s">
        <v>8</v>
      </c>
      <c r="E24">
        <v>5</v>
      </c>
      <c r="F24">
        <v>2524.61</v>
      </c>
      <c r="G24">
        <v>12623.05</v>
      </c>
    </row>
    <row r="25" spans="1:7" x14ac:dyDescent="0.3">
      <c r="A25">
        <v>1232</v>
      </c>
      <c r="B25" s="3">
        <v>46037</v>
      </c>
      <c r="C25" t="s">
        <v>7</v>
      </c>
      <c r="D25" t="s">
        <v>8</v>
      </c>
      <c r="E25">
        <v>6</v>
      </c>
      <c r="F25">
        <v>877.47</v>
      </c>
      <c r="G25">
        <v>5264.82</v>
      </c>
    </row>
    <row r="26" spans="1:7" x14ac:dyDescent="0.3">
      <c r="A26">
        <v>1061</v>
      </c>
      <c r="B26" s="3">
        <v>46037</v>
      </c>
      <c r="C26" t="s">
        <v>15</v>
      </c>
      <c r="D26" t="s">
        <v>12</v>
      </c>
      <c r="E26">
        <v>8</v>
      </c>
      <c r="F26">
        <v>55031.35</v>
      </c>
      <c r="G26">
        <v>440250.8</v>
      </c>
    </row>
    <row r="27" spans="1:7" x14ac:dyDescent="0.3">
      <c r="A27">
        <v>1019</v>
      </c>
      <c r="B27" s="3">
        <v>46037</v>
      </c>
      <c r="C27" t="s">
        <v>13</v>
      </c>
      <c r="D27" t="s">
        <v>8</v>
      </c>
      <c r="E27">
        <v>1</v>
      </c>
      <c r="F27">
        <v>2652.52</v>
      </c>
      <c r="G27">
        <v>2652.52</v>
      </c>
    </row>
    <row r="28" spans="1:7" x14ac:dyDescent="0.3">
      <c r="A28">
        <v>1184</v>
      </c>
      <c r="B28" s="3">
        <v>46038</v>
      </c>
      <c r="C28" t="s">
        <v>11</v>
      </c>
      <c r="D28" t="s">
        <v>12</v>
      </c>
      <c r="E28">
        <v>4</v>
      </c>
      <c r="F28">
        <v>22552.27</v>
      </c>
      <c r="G28">
        <v>90209.08</v>
      </c>
    </row>
    <row r="29" spans="1:7" x14ac:dyDescent="0.3">
      <c r="A29">
        <v>1178</v>
      </c>
      <c r="B29" s="3">
        <v>46039</v>
      </c>
      <c r="C29" t="s">
        <v>9</v>
      </c>
      <c r="D29" t="s">
        <v>10</v>
      </c>
      <c r="E29">
        <v>8</v>
      </c>
      <c r="F29">
        <v>7775.94</v>
      </c>
      <c r="G29">
        <v>62207.519999999997</v>
      </c>
    </row>
    <row r="30" spans="1:7" x14ac:dyDescent="0.3">
      <c r="A30">
        <v>1279</v>
      </c>
      <c r="B30" s="3">
        <v>46039</v>
      </c>
      <c r="C30" t="s">
        <v>17</v>
      </c>
      <c r="D30" t="s">
        <v>10</v>
      </c>
      <c r="E30">
        <v>8</v>
      </c>
      <c r="F30">
        <v>12667.24</v>
      </c>
      <c r="G30">
        <v>101337.92</v>
      </c>
    </row>
    <row r="31" spans="1:7" x14ac:dyDescent="0.3">
      <c r="A31">
        <v>1103</v>
      </c>
      <c r="B31" s="3">
        <v>46040</v>
      </c>
      <c r="C31" t="s">
        <v>16</v>
      </c>
      <c r="D31" t="s">
        <v>8</v>
      </c>
      <c r="E31">
        <v>6</v>
      </c>
      <c r="F31">
        <v>1549.02</v>
      </c>
      <c r="G31">
        <v>9294.1200000000008</v>
      </c>
    </row>
    <row r="32" spans="1:7" x14ac:dyDescent="0.3">
      <c r="A32">
        <v>1143</v>
      </c>
      <c r="B32" s="3">
        <v>46040</v>
      </c>
      <c r="C32" t="s">
        <v>15</v>
      </c>
      <c r="D32" t="s">
        <v>12</v>
      </c>
      <c r="E32">
        <v>1</v>
      </c>
      <c r="F32">
        <v>59945.73</v>
      </c>
      <c r="G32">
        <v>59945.73</v>
      </c>
    </row>
    <row r="33" spans="1:7" x14ac:dyDescent="0.3">
      <c r="A33">
        <v>1072</v>
      </c>
      <c r="B33" s="3">
        <v>46040</v>
      </c>
      <c r="C33" t="s">
        <v>13</v>
      </c>
      <c r="D33" t="s">
        <v>8</v>
      </c>
      <c r="E33">
        <v>6</v>
      </c>
      <c r="F33">
        <v>2392.4899999999998</v>
      </c>
      <c r="G33">
        <v>14354.94</v>
      </c>
    </row>
    <row r="34" spans="1:7" x14ac:dyDescent="0.3">
      <c r="A34">
        <v>1036</v>
      </c>
      <c r="B34" s="3">
        <v>46040</v>
      </c>
      <c r="C34" t="s">
        <v>14</v>
      </c>
      <c r="D34" t="s">
        <v>12</v>
      </c>
      <c r="E34">
        <v>3</v>
      </c>
      <c r="F34">
        <v>18575.099999999999</v>
      </c>
      <c r="G34">
        <v>55725.3</v>
      </c>
    </row>
    <row r="35" spans="1:7" x14ac:dyDescent="0.3">
      <c r="A35">
        <v>1069</v>
      </c>
      <c r="B35" s="3">
        <v>46041</v>
      </c>
      <c r="C35" t="s">
        <v>15</v>
      </c>
      <c r="D35" t="s">
        <v>12</v>
      </c>
      <c r="E35">
        <v>8</v>
      </c>
      <c r="F35">
        <v>56332.75</v>
      </c>
      <c r="G35">
        <v>450662</v>
      </c>
    </row>
    <row r="36" spans="1:7" x14ac:dyDescent="0.3">
      <c r="A36">
        <v>1053</v>
      </c>
      <c r="B36" s="3">
        <v>46042</v>
      </c>
      <c r="C36" t="s">
        <v>17</v>
      </c>
      <c r="D36" t="s">
        <v>10</v>
      </c>
      <c r="E36">
        <v>2</v>
      </c>
      <c r="F36">
        <v>10921.41</v>
      </c>
      <c r="G36">
        <v>21842.82</v>
      </c>
    </row>
    <row r="37" spans="1:7" x14ac:dyDescent="0.3">
      <c r="A37">
        <v>1063</v>
      </c>
      <c r="B37" s="3">
        <v>46043</v>
      </c>
      <c r="C37" t="s">
        <v>14</v>
      </c>
      <c r="D37" t="s">
        <v>12</v>
      </c>
      <c r="E37">
        <v>2</v>
      </c>
      <c r="F37">
        <v>18342.13</v>
      </c>
      <c r="G37">
        <v>36684.26</v>
      </c>
    </row>
    <row r="38" spans="1:7" x14ac:dyDescent="0.3">
      <c r="A38">
        <v>1294</v>
      </c>
      <c r="B38" s="3">
        <v>46044</v>
      </c>
      <c r="C38" t="s">
        <v>11</v>
      </c>
      <c r="D38" t="s">
        <v>12</v>
      </c>
      <c r="E38">
        <v>7</v>
      </c>
      <c r="F38">
        <v>20224.88</v>
      </c>
      <c r="G38">
        <v>141574.16</v>
      </c>
    </row>
    <row r="39" spans="1:7" x14ac:dyDescent="0.3">
      <c r="A39">
        <v>1157</v>
      </c>
      <c r="B39" s="3">
        <v>46045</v>
      </c>
      <c r="C39" t="s">
        <v>7</v>
      </c>
      <c r="D39" t="s">
        <v>8</v>
      </c>
      <c r="E39">
        <v>8</v>
      </c>
      <c r="F39">
        <v>853.9</v>
      </c>
      <c r="G39">
        <v>6831.2</v>
      </c>
    </row>
    <row r="40" spans="1:7" x14ac:dyDescent="0.3">
      <c r="A40">
        <v>1004</v>
      </c>
      <c r="B40" s="3">
        <v>46046</v>
      </c>
      <c r="C40" t="s">
        <v>13</v>
      </c>
      <c r="D40" t="s">
        <v>8</v>
      </c>
      <c r="E40">
        <v>4</v>
      </c>
      <c r="F40">
        <v>2502.6799999999998</v>
      </c>
      <c r="G40">
        <v>10010.719999999999</v>
      </c>
    </row>
    <row r="41" spans="1:7" x14ac:dyDescent="0.3">
      <c r="A41">
        <v>1009</v>
      </c>
      <c r="B41" s="3">
        <v>46047</v>
      </c>
      <c r="C41" t="s">
        <v>16</v>
      </c>
      <c r="D41" t="s">
        <v>8</v>
      </c>
      <c r="E41">
        <v>6</v>
      </c>
      <c r="F41">
        <v>1531.12</v>
      </c>
      <c r="G41">
        <v>9186.7199999999993</v>
      </c>
    </row>
    <row r="42" spans="1:7" x14ac:dyDescent="0.3">
      <c r="A42">
        <v>1118</v>
      </c>
      <c r="B42" s="3">
        <v>46050</v>
      </c>
      <c r="C42" t="s">
        <v>9</v>
      </c>
      <c r="D42" t="s">
        <v>10</v>
      </c>
      <c r="E42">
        <v>4</v>
      </c>
      <c r="F42">
        <v>7949.01</v>
      </c>
      <c r="G42">
        <v>31796.04</v>
      </c>
    </row>
    <row r="43" spans="1:7" x14ac:dyDescent="0.3">
      <c r="A43">
        <v>1153</v>
      </c>
      <c r="B43" s="3">
        <v>46050</v>
      </c>
      <c r="C43" t="s">
        <v>9</v>
      </c>
      <c r="D43" t="s">
        <v>10</v>
      </c>
      <c r="E43">
        <v>6</v>
      </c>
      <c r="F43">
        <v>8730.49</v>
      </c>
      <c r="G43">
        <v>52382.94</v>
      </c>
    </row>
    <row r="44" spans="1:7" x14ac:dyDescent="0.3">
      <c r="A44">
        <v>1034</v>
      </c>
      <c r="B44" s="3">
        <v>46051</v>
      </c>
      <c r="C44" t="s">
        <v>16</v>
      </c>
      <c r="D44" t="s">
        <v>8</v>
      </c>
      <c r="E44">
        <v>5</v>
      </c>
      <c r="F44">
        <v>1421.84</v>
      </c>
      <c r="G44">
        <v>7109.2</v>
      </c>
    </row>
    <row r="45" spans="1:7" x14ac:dyDescent="0.3">
      <c r="A45">
        <v>1026</v>
      </c>
      <c r="B45" s="3">
        <v>46051</v>
      </c>
      <c r="C45" t="s">
        <v>14</v>
      </c>
      <c r="D45" t="s">
        <v>12</v>
      </c>
      <c r="E45">
        <v>3</v>
      </c>
      <c r="F45">
        <v>19051.490000000002</v>
      </c>
      <c r="G45">
        <v>57154.47</v>
      </c>
    </row>
    <row r="46" spans="1:7" x14ac:dyDescent="0.3">
      <c r="A46">
        <v>1276</v>
      </c>
      <c r="B46" s="3">
        <v>46051</v>
      </c>
      <c r="C46" t="s">
        <v>15</v>
      </c>
      <c r="D46" t="s">
        <v>12</v>
      </c>
      <c r="E46">
        <v>3</v>
      </c>
      <c r="F46">
        <v>49663.46</v>
      </c>
      <c r="G46">
        <v>148990.38</v>
      </c>
    </row>
    <row r="47" spans="1:7" x14ac:dyDescent="0.3">
      <c r="A47">
        <v>1211</v>
      </c>
      <c r="B47" s="3">
        <v>46052</v>
      </c>
      <c r="C47" t="s">
        <v>17</v>
      </c>
      <c r="D47" t="s">
        <v>10</v>
      </c>
      <c r="E47">
        <v>2</v>
      </c>
      <c r="F47">
        <v>12354.5</v>
      </c>
      <c r="G47">
        <v>24709</v>
      </c>
    </row>
    <row r="48" spans="1:7" x14ac:dyDescent="0.3">
      <c r="A48">
        <v>1260</v>
      </c>
      <c r="B48" s="3">
        <v>46052</v>
      </c>
      <c r="C48" t="s">
        <v>14</v>
      </c>
      <c r="D48" t="s">
        <v>12</v>
      </c>
      <c r="E48">
        <v>1</v>
      </c>
      <c r="F48">
        <v>19606.54</v>
      </c>
      <c r="G48">
        <v>19606.54</v>
      </c>
    </row>
    <row r="49" spans="1:7" x14ac:dyDescent="0.3">
      <c r="A49">
        <v>1147</v>
      </c>
      <c r="B49" s="3">
        <v>46052</v>
      </c>
      <c r="C49" t="s">
        <v>14</v>
      </c>
      <c r="D49" t="s">
        <v>12</v>
      </c>
      <c r="E49">
        <v>5</v>
      </c>
      <c r="F49">
        <v>16589.16</v>
      </c>
      <c r="G49">
        <v>82945.8</v>
      </c>
    </row>
    <row r="50" spans="1:7" x14ac:dyDescent="0.3">
      <c r="A50">
        <v>1029</v>
      </c>
      <c r="B50" s="3">
        <v>46052</v>
      </c>
      <c r="C50" t="s">
        <v>7</v>
      </c>
      <c r="D50" t="s">
        <v>8</v>
      </c>
      <c r="E50">
        <v>6</v>
      </c>
      <c r="F50">
        <v>830.08</v>
      </c>
      <c r="G50">
        <v>4980.4799999999996</v>
      </c>
    </row>
    <row r="51" spans="1:7" x14ac:dyDescent="0.3">
      <c r="A51">
        <v>1181</v>
      </c>
      <c r="B51" s="3">
        <v>46053</v>
      </c>
      <c r="C51" t="s">
        <v>9</v>
      </c>
      <c r="D51" t="s">
        <v>10</v>
      </c>
      <c r="E51">
        <v>4</v>
      </c>
      <c r="F51">
        <v>8968.68</v>
      </c>
      <c r="G51">
        <v>35874.720000000001</v>
      </c>
    </row>
    <row r="52" spans="1:7" x14ac:dyDescent="0.3">
      <c r="A52">
        <v>1169</v>
      </c>
      <c r="B52" s="3">
        <v>46053</v>
      </c>
      <c r="C52" t="s">
        <v>13</v>
      </c>
      <c r="D52" t="s">
        <v>8</v>
      </c>
      <c r="E52">
        <v>6</v>
      </c>
      <c r="F52">
        <v>2309.7800000000002</v>
      </c>
      <c r="G52">
        <v>13858.68</v>
      </c>
    </row>
    <row r="53" spans="1:7" x14ac:dyDescent="0.3">
      <c r="A53">
        <v>1104</v>
      </c>
      <c r="B53" s="3">
        <v>46054</v>
      </c>
      <c r="C53" t="s">
        <v>7</v>
      </c>
      <c r="D53" t="s">
        <v>8</v>
      </c>
      <c r="E53">
        <v>5</v>
      </c>
      <c r="F53">
        <v>930.04</v>
      </c>
      <c r="G53">
        <v>4650.2</v>
      </c>
    </row>
    <row r="54" spans="1:7" x14ac:dyDescent="0.3">
      <c r="A54">
        <v>1120</v>
      </c>
      <c r="B54" s="3">
        <v>46054</v>
      </c>
      <c r="C54" t="s">
        <v>17</v>
      </c>
      <c r="D54" t="s">
        <v>10</v>
      </c>
      <c r="E54">
        <v>3</v>
      </c>
      <c r="F54">
        <v>12723.4</v>
      </c>
      <c r="G54">
        <v>38170.199999999997</v>
      </c>
    </row>
    <row r="55" spans="1:7" x14ac:dyDescent="0.3">
      <c r="A55">
        <v>1136</v>
      </c>
      <c r="B55" s="3">
        <v>46055</v>
      </c>
      <c r="C55" t="s">
        <v>15</v>
      </c>
      <c r="D55" t="s">
        <v>12</v>
      </c>
      <c r="E55">
        <v>7</v>
      </c>
      <c r="F55">
        <v>56010.82</v>
      </c>
      <c r="G55">
        <v>392075.74</v>
      </c>
    </row>
    <row r="56" spans="1:7" x14ac:dyDescent="0.3">
      <c r="A56">
        <v>1250</v>
      </c>
      <c r="B56" s="3">
        <v>46056</v>
      </c>
      <c r="C56" t="s">
        <v>16</v>
      </c>
      <c r="D56" t="s">
        <v>8</v>
      </c>
      <c r="E56">
        <v>5</v>
      </c>
      <c r="F56">
        <v>1599.14</v>
      </c>
      <c r="G56">
        <v>7995.7</v>
      </c>
    </row>
    <row r="57" spans="1:7" x14ac:dyDescent="0.3">
      <c r="A57">
        <v>1075</v>
      </c>
      <c r="B57" s="3">
        <v>46057</v>
      </c>
      <c r="C57" t="s">
        <v>7</v>
      </c>
      <c r="D57" t="s">
        <v>8</v>
      </c>
      <c r="E57">
        <v>2</v>
      </c>
      <c r="F57">
        <v>970.15</v>
      </c>
      <c r="G57">
        <v>1940.3</v>
      </c>
    </row>
    <row r="58" spans="1:7" x14ac:dyDescent="0.3">
      <c r="A58">
        <v>1138</v>
      </c>
      <c r="B58" s="3">
        <v>46057</v>
      </c>
      <c r="C58" t="s">
        <v>17</v>
      </c>
      <c r="D58" t="s">
        <v>10</v>
      </c>
      <c r="E58">
        <v>3</v>
      </c>
      <c r="F58">
        <v>10920.68</v>
      </c>
      <c r="G58">
        <v>32762.04</v>
      </c>
    </row>
    <row r="59" spans="1:7" x14ac:dyDescent="0.3">
      <c r="A59">
        <v>1025</v>
      </c>
      <c r="B59" s="3">
        <v>46058</v>
      </c>
      <c r="C59" t="s">
        <v>17</v>
      </c>
      <c r="D59" t="s">
        <v>10</v>
      </c>
      <c r="E59">
        <v>2</v>
      </c>
      <c r="F59">
        <v>12613.88</v>
      </c>
      <c r="G59">
        <v>25227.759999999998</v>
      </c>
    </row>
    <row r="60" spans="1:7" x14ac:dyDescent="0.3">
      <c r="A60">
        <v>1253</v>
      </c>
      <c r="B60" s="3">
        <v>46059</v>
      </c>
      <c r="C60" t="s">
        <v>13</v>
      </c>
      <c r="D60" t="s">
        <v>8</v>
      </c>
      <c r="E60">
        <v>7</v>
      </c>
      <c r="F60">
        <v>2733.63</v>
      </c>
      <c r="G60">
        <v>19135.41</v>
      </c>
    </row>
    <row r="61" spans="1:7" x14ac:dyDescent="0.3">
      <c r="A61">
        <v>1191</v>
      </c>
      <c r="B61" s="3">
        <v>46059</v>
      </c>
      <c r="C61" t="s">
        <v>11</v>
      </c>
      <c r="D61" t="s">
        <v>12</v>
      </c>
      <c r="E61">
        <v>1</v>
      </c>
      <c r="F61">
        <v>20530.060000000001</v>
      </c>
      <c r="G61">
        <v>20530.060000000001</v>
      </c>
    </row>
    <row r="62" spans="1:7" x14ac:dyDescent="0.3">
      <c r="A62">
        <v>1225</v>
      </c>
      <c r="B62" s="3">
        <v>46059</v>
      </c>
      <c r="C62" t="s">
        <v>9</v>
      </c>
      <c r="D62" t="s">
        <v>10</v>
      </c>
      <c r="E62">
        <v>3</v>
      </c>
      <c r="F62">
        <v>7777.21</v>
      </c>
      <c r="G62">
        <v>23331.63</v>
      </c>
    </row>
    <row r="63" spans="1:7" x14ac:dyDescent="0.3">
      <c r="A63">
        <v>1236</v>
      </c>
      <c r="B63" s="3">
        <v>46059</v>
      </c>
      <c r="C63" t="s">
        <v>13</v>
      </c>
      <c r="D63" t="s">
        <v>8</v>
      </c>
      <c r="E63">
        <v>8</v>
      </c>
      <c r="F63">
        <v>2568.9499999999998</v>
      </c>
      <c r="G63">
        <v>20551.599999999999</v>
      </c>
    </row>
    <row r="64" spans="1:7" x14ac:dyDescent="0.3">
      <c r="A64">
        <v>1275</v>
      </c>
      <c r="B64" s="3">
        <v>46060</v>
      </c>
      <c r="C64" t="s">
        <v>14</v>
      </c>
      <c r="D64" t="s">
        <v>12</v>
      </c>
      <c r="E64">
        <v>5</v>
      </c>
      <c r="F64">
        <v>19074.650000000001</v>
      </c>
      <c r="G64">
        <v>95373.25</v>
      </c>
    </row>
    <row r="65" spans="1:7" x14ac:dyDescent="0.3">
      <c r="A65">
        <v>1114</v>
      </c>
      <c r="B65" s="3">
        <v>46060</v>
      </c>
      <c r="C65" t="s">
        <v>15</v>
      </c>
      <c r="D65" t="s">
        <v>12</v>
      </c>
      <c r="E65">
        <v>1</v>
      </c>
      <c r="F65">
        <v>52193.27</v>
      </c>
      <c r="G65">
        <v>52193.27</v>
      </c>
    </row>
    <row r="66" spans="1:7" x14ac:dyDescent="0.3">
      <c r="A66">
        <v>1233</v>
      </c>
      <c r="B66" s="3">
        <v>46060</v>
      </c>
      <c r="C66" t="s">
        <v>13</v>
      </c>
      <c r="D66" t="s">
        <v>8</v>
      </c>
      <c r="E66">
        <v>7</v>
      </c>
      <c r="F66">
        <v>2532.96</v>
      </c>
      <c r="G66">
        <v>17730.72</v>
      </c>
    </row>
    <row r="67" spans="1:7" x14ac:dyDescent="0.3">
      <c r="A67">
        <v>1285</v>
      </c>
      <c r="B67" s="3">
        <v>46060</v>
      </c>
      <c r="C67" t="s">
        <v>11</v>
      </c>
      <c r="D67" t="s">
        <v>12</v>
      </c>
      <c r="E67">
        <v>3</v>
      </c>
      <c r="F67">
        <v>21010.07</v>
      </c>
      <c r="G67">
        <v>63030.21</v>
      </c>
    </row>
    <row r="68" spans="1:7" x14ac:dyDescent="0.3">
      <c r="A68">
        <v>1212</v>
      </c>
      <c r="B68" s="3">
        <v>46062</v>
      </c>
      <c r="C68" t="s">
        <v>17</v>
      </c>
      <c r="D68" t="s">
        <v>10</v>
      </c>
      <c r="E68">
        <v>5</v>
      </c>
      <c r="F68">
        <v>12021.29</v>
      </c>
      <c r="G68">
        <v>60106.45</v>
      </c>
    </row>
    <row r="69" spans="1:7" x14ac:dyDescent="0.3">
      <c r="A69">
        <v>1007</v>
      </c>
      <c r="B69" s="3">
        <v>46063</v>
      </c>
      <c r="C69" t="s">
        <v>9</v>
      </c>
      <c r="D69" t="s">
        <v>10</v>
      </c>
      <c r="E69">
        <v>6</v>
      </c>
      <c r="F69">
        <v>8122.38</v>
      </c>
      <c r="G69">
        <v>48734.28</v>
      </c>
    </row>
    <row r="70" spans="1:7" x14ac:dyDescent="0.3">
      <c r="A70">
        <v>1033</v>
      </c>
      <c r="B70" s="3">
        <v>46064</v>
      </c>
      <c r="C70" t="s">
        <v>15</v>
      </c>
      <c r="D70" t="s">
        <v>12</v>
      </c>
      <c r="E70">
        <v>6</v>
      </c>
      <c r="F70">
        <v>54874.66</v>
      </c>
      <c r="G70">
        <v>329247.96000000002</v>
      </c>
    </row>
    <row r="71" spans="1:7" x14ac:dyDescent="0.3">
      <c r="A71">
        <v>1111</v>
      </c>
      <c r="B71" s="3">
        <v>46066</v>
      </c>
      <c r="C71" t="s">
        <v>11</v>
      </c>
      <c r="D71" t="s">
        <v>12</v>
      </c>
      <c r="E71">
        <v>5</v>
      </c>
      <c r="F71">
        <v>22067.99</v>
      </c>
      <c r="G71">
        <v>110339.95</v>
      </c>
    </row>
    <row r="72" spans="1:7" x14ac:dyDescent="0.3">
      <c r="A72">
        <v>1017</v>
      </c>
      <c r="B72" s="3">
        <v>46066</v>
      </c>
      <c r="C72" t="s">
        <v>13</v>
      </c>
      <c r="D72" t="s">
        <v>8</v>
      </c>
      <c r="E72">
        <v>3</v>
      </c>
      <c r="F72">
        <v>2481.13</v>
      </c>
      <c r="G72">
        <v>7443.39</v>
      </c>
    </row>
    <row r="73" spans="1:7" x14ac:dyDescent="0.3">
      <c r="A73">
        <v>1198</v>
      </c>
      <c r="B73" s="3">
        <v>46067</v>
      </c>
      <c r="C73" t="s">
        <v>17</v>
      </c>
      <c r="D73" t="s">
        <v>10</v>
      </c>
      <c r="E73">
        <v>8</v>
      </c>
      <c r="F73">
        <v>12998.57</v>
      </c>
      <c r="G73">
        <v>103988.56</v>
      </c>
    </row>
    <row r="74" spans="1:7" x14ac:dyDescent="0.3">
      <c r="A74">
        <v>1107</v>
      </c>
      <c r="B74" s="3">
        <v>46067</v>
      </c>
      <c r="C74" t="s">
        <v>7</v>
      </c>
      <c r="D74" t="s">
        <v>8</v>
      </c>
      <c r="E74">
        <v>7</v>
      </c>
      <c r="F74">
        <v>908.63</v>
      </c>
      <c r="G74">
        <v>6360.41</v>
      </c>
    </row>
    <row r="75" spans="1:7" x14ac:dyDescent="0.3">
      <c r="A75">
        <v>1199</v>
      </c>
      <c r="B75" s="3">
        <v>46069</v>
      </c>
      <c r="C75" t="s">
        <v>9</v>
      </c>
      <c r="D75" t="s">
        <v>10</v>
      </c>
      <c r="E75">
        <v>8</v>
      </c>
      <c r="F75">
        <v>9297.39</v>
      </c>
      <c r="G75">
        <v>74379.12</v>
      </c>
    </row>
    <row r="76" spans="1:7" x14ac:dyDescent="0.3">
      <c r="A76">
        <v>1234</v>
      </c>
      <c r="B76" s="3">
        <v>46069</v>
      </c>
      <c r="C76" t="s">
        <v>14</v>
      </c>
      <c r="D76" t="s">
        <v>12</v>
      </c>
      <c r="E76">
        <v>3</v>
      </c>
      <c r="F76">
        <v>16484.29</v>
      </c>
      <c r="G76">
        <v>49452.87</v>
      </c>
    </row>
    <row r="77" spans="1:7" x14ac:dyDescent="0.3">
      <c r="A77">
        <v>1206</v>
      </c>
      <c r="B77" s="3">
        <v>46071</v>
      </c>
      <c r="C77" t="s">
        <v>16</v>
      </c>
      <c r="D77" t="s">
        <v>8</v>
      </c>
      <c r="E77">
        <v>8</v>
      </c>
      <c r="F77">
        <v>1537.62</v>
      </c>
      <c r="G77">
        <v>12300.96</v>
      </c>
    </row>
    <row r="78" spans="1:7" x14ac:dyDescent="0.3">
      <c r="A78">
        <v>1162</v>
      </c>
      <c r="B78" s="3">
        <v>46071</v>
      </c>
      <c r="C78" t="s">
        <v>11</v>
      </c>
      <c r="D78" t="s">
        <v>12</v>
      </c>
      <c r="E78">
        <v>4</v>
      </c>
      <c r="F78">
        <v>22968.33</v>
      </c>
      <c r="G78">
        <v>91873.32</v>
      </c>
    </row>
    <row r="79" spans="1:7" x14ac:dyDescent="0.3">
      <c r="A79">
        <v>1220</v>
      </c>
      <c r="B79" s="3">
        <v>46071</v>
      </c>
      <c r="C79" t="s">
        <v>13</v>
      </c>
      <c r="D79" t="s">
        <v>8</v>
      </c>
      <c r="E79">
        <v>7</v>
      </c>
      <c r="F79">
        <v>2366.7800000000002</v>
      </c>
      <c r="G79">
        <v>16567.46</v>
      </c>
    </row>
    <row r="80" spans="1:7" x14ac:dyDescent="0.3">
      <c r="A80">
        <v>1246</v>
      </c>
      <c r="B80" s="3">
        <v>46071</v>
      </c>
      <c r="C80" t="s">
        <v>7</v>
      </c>
      <c r="D80" t="s">
        <v>8</v>
      </c>
      <c r="E80">
        <v>3</v>
      </c>
      <c r="F80">
        <v>923.08</v>
      </c>
      <c r="G80">
        <v>2769.24</v>
      </c>
    </row>
    <row r="81" spans="1:7" x14ac:dyDescent="0.3">
      <c r="A81">
        <v>1106</v>
      </c>
      <c r="B81" s="3">
        <v>46072</v>
      </c>
      <c r="C81" t="s">
        <v>9</v>
      </c>
      <c r="D81" t="s">
        <v>10</v>
      </c>
      <c r="E81">
        <v>7</v>
      </c>
      <c r="F81">
        <v>8801.44</v>
      </c>
      <c r="G81">
        <v>61610.080000000002</v>
      </c>
    </row>
    <row r="82" spans="1:7" x14ac:dyDescent="0.3">
      <c r="A82">
        <v>1172</v>
      </c>
      <c r="B82" s="3">
        <v>46072</v>
      </c>
      <c r="C82" t="s">
        <v>7</v>
      </c>
      <c r="D82" t="s">
        <v>8</v>
      </c>
      <c r="E82">
        <v>4</v>
      </c>
      <c r="F82">
        <v>874.96</v>
      </c>
      <c r="G82">
        <v>3499.84</v>
      </c>
    </row>
    <row r="83" spans="1:7" x14ac:dyDescent="0.3">
      <c r="A83">
        <v>1149</v>
      </c>
      <c r="B83" s="3">
        <v>46073</v>
      </c>
      <c r="C83" t="s">
        <v>11</v>
      </c>
      <c r="D83" t="s">
        <v>12</v>
      </c>
      <c r="E83">
        <v>4</v>
      </c>
      <c r="F83">
        <v>20248.37</v>
      </c>
      <c r="G83">
        <v>80993.48</v>
      </c>
    </row>
    <row r="84" spans="1:7" x14ac:dyDescent="0.3">
      <c r="A84">
        <v>1144</v>
      </c>
      <c r="B84" s="3">
        <v>46074</v>
      </c>
      <c r="C84" t="s">
        <v>15</v>
      </c>
      <c r="D84" t="s">
        <v>12</v>
      </c>
      <c r="E84">
        <v>3</v>
      </c>
      <c r="F84">
        <v>52123.99</v>
      </c>
      <c r="G84">
        <v>156371.97</v>
      </c>
    </row>
    <row r="85" spans="1:7" x14ac:dyDescent="0.3">
      <c r="A85">
        <v>1130</v>
      </c>
      <c r="B85" s="3">
        <v>46075</v>
      </c>
      <c r="C85" t="s">
        <v>9</v>
      </c>
      <c r="D85" t="s">
        <v>10</v>
      </c>
      <c r="E85">
        <v>7</v>
      </c>
      <c r="F85">
        <v>9188.23</v>
      </c>
      <c r="G85">
        <v>64317.61</v>
      </c>
    </row>
    <row r="86" spans="1:7" x14ac:dyDescent="0.3">
      <c r="A86">
        <v>1016</v>
      </c>
      <c r="B86" s="3">
        <v>46076</v>
      </c>
      <c r="C86" t="s">
        <v>7</v>
      </c>
      <c r="D86" t="s">
        <v>8</v>
      </c>
      <c r="E86">
        <v>2</v>
      </c>
      <c r="F86">
        <v>919.64</v>
      </c>
      <c r="G86">
        <v>1839.28</v>
      </c>
    </row>
    <row r="87" spans="1:7" x14ac:dyDescent="0.3">
      <c r="A87">
        <v>1077</v>
      </c>
      <c r="B87" s="3">
        <v>46076</v>
      </c>
      <c r="C87" t="s">
        <v>16</v>
      </c>
      <c r="D87" t="s">
        <v>8</v>
      </c>
      <c r="E87">
        <v>4</v>
      </c>
      <c r="F87">
        <v>1556.25</v>
      </c>
      <c r="G87">
        <v>6225</v>
      </c>
    </row>
    <row r="88" spans="1:7" x14ac:dyDescent="0.3">
      <c r="A88">
        <v>1086</v>
      </c>
      <c r="B88" s="3">
        <v>46076</v>
      </c>
      <c r="C88" t="s">
        <v>13</v>
      </c>
      <c r="D88" t="s">
        <v>8</v>
      </c>
      <c r="E88">
        <v>2</v>
      </c>
      <c r="F88">
        <v>2426.84</v>
      </c>
      <c r="G88">
        <v>4853.68</v>
      </c>
    </row>
    <row r="89" spans="1:7" x14ac:dyDescent="0.3">
      <c r="A89">
        <v>1056</v>
      </c>
      <c r="B89" s="3">
        <v>46077</v>
      </c>
      <c r="C89" t="s">
        <v>9</v>
      </c>
      <c r="D89" t="s">
        <v>10</v>
      </c>
      <c r="E89">
        <v>1</v>
      </c>
      <c r="F89">
        <v>7929.88</v>
      </c>
      <c r="G89">
        <v>7929.88</v>
      </c>
    </row>
    <row r="90" spans="1:7" x14ac:dyDescent="0.3">
      <c r="A90">
        <v>1060</v>
      </c>
      <c r="B90" s="3">
        <v>46078</v>
      </c>
      <c r="C90" t="s">
        <v>15</v>
      </c>
      <c r="D90" t="s">
        <v>12</v>
      </c>
      <c r="E90">
        <v>1</v>
      </c>
      <c r="F90">
        <v>57727.73</v>
      </c>
      <c r="G90">
        <v>57727.73</v>
      </c>
    </row>
    <row r="91" spans="1:7" x14ac:dyDescent="0.3">
      <c r="A91">
        <v>1008</v>
      </c>
      <c r="B91" s="3">
        <v>46078</v>
      </c>
      <c r="C91" t="s">
        <v>16</v>
      </c>
      <c r="D91" t="s">
        <v>8</v>
      </c>
      <c r="E91">
        <v>2</v>
      </c>
      <c r="F91">
        <v>1377.82</v>
      </c>
      <c r="G91">
        <v>2755.64</v>
      </c>
    </row>
    <row r="92" spans="1:7" x14ac:dyDescent="0.3">
      <c r="A92">
        <v>1165</v>
      </c>
      <c r="B92" s="3">
        <v>46079</v>
      </c>
      <c r="C92" t="s">
        <v>9</v>
      </c>
      <c r="D92" t="s">
        <v>10</v>
      </c>
      <c r="E92">
        <v>4</v>
      </c>
      <c r="F92">
        <v>8170.55</v>
      </c>
      <c r="G92">
        <v>32682.2</v>
      </c>
    </row>
    <row r="93" spans="1:7" x14ac:dyDescent="0.3">
      <c r="A93">
        <v>1300</v>
      </c>
      <c r="B93" s="3">
        <v>46080</v>
      </c>
      <c r="C93" t="s">
        <v>11</v>
      </c>
      <c r="D93" t="s">
        <v>12</v>
      </c>
      <c r="E93">
        <v>6</v>
      </c>
      <c r="F93">
        <v>23519.64</v>
      </c>
      <c r="G93">
        <v>141117.84</v>
      </c>
    </row>
    <row r="94" spans="1:7" x14ac:dyDescent="0.3">
      <c r="A94">
        <v>1094</v>
      </c>
      <c r="B94" s="3">
        <v>46081</v>
      </c>
      <c r="C94" t="s">
        <v>13</v>
      </c>
      <c r="D94" t="s">
        <v>8</v>
      </c>
      <c r="E94">
        <v>1</v>
      </c>
      <c r="F94">
        <v>2580.02</v>
      </c>
      <c r="G94">
        <v>2580.02</v>
      </c>
    </row>
    <row r="95" spans="1:7" x14ac:dyDescent="0.3">
      <c r="A95">
        <v>1290</v>
      </c>
      <c r="B95" s="3">
        <v>46081</v>
      </c>
      <c r="C95" t="s">
        <v>9</v>
      </c>
      <c r="D95" t="s">
        <v>10</v>
      </c>
      <c r="E95">
        <v>6</v>
      </c>
      <c r="F95">
        <v>9056.61</v>
      </c>
      <c r="G95">
        <v>54339.66</v>
      </c>
    </row>
    <row r="96" spans="1:7" x14ac:dyDescent="0.3">
      <c r="A96">
        <v>1189</v>
      </c>
      <c r="B96" s="3">
        <v>46082</v>
      </c>
      <c r="C96" t="s">
        <v>7</v>
      </c>
      <c r="D96" t="s">
        <v>8</v>
      </c>
      <c r="E96">
        <v>4</v>
      </c>
      <c r="F96">
        <v>886.53</v>
      </c>
      <c r="G96">
        <v>3546.12</v>
      </c>
    </row>
    <row r="97" spans="1:7" x14ac:dyDescent="0.3">
      <c r="A97">
        <v>1014</v>
      </c>
      <c r="B97" s="3">
        <v>46082</v>
      </c>
      <c r="C97" t="s">
        <v>11</v>
      </c>
      <c r="D97" t="s">
        <v>12</v>
      </c>
      <c r="E97">
        <v>7</v>
      </c>
      <c r="F97">
        <v>21023.08</v>
      </c>
      <c r="G97">
        <v>147161.56</v>
      </c>
    </row>
    <row r="98" spans="1:7" x14ac:dyDescent="0.3">
      <c r="A98">
        <v>1273</v>
      </c>
      <c r="B98" s="3">
        <v>46082</v>
      </c>
      <c r="C98" t="s">
        <v>16</v>
      </c>
      <c r="D98" t="s">
        <v>8</v>
      </c>
      <c r="E98">
        <v>3</v>
      </c>
      <c r="F98">
        <v>1586.59</v>
      </c>
      <c r="G98">
        <v>4759.7700000000004</v>
      </c>
    </row>
    <row r="99" spans="1:7" x14ac:dyDescent="0.3">
      <c r="A99">
        <v>1126</v>
      </c>
      <c r="B99" s="3">
        <v>46083</v>
      </c>
      <c r="C99" t="s">
        <v>7</v>
      </c>
      <c r="D99" t="s">
        <v>8</v>
      </c>
      <c r="E99">
        <v>6</v>
      </c>
      <c r="F99">
        <v>867.55</v>
      </c>
      <c r="G99">
        <v>5205.3</v>
      </c>
    </row>
    <row r="100" spans="1:7" x14ac:dyDescent="0.3">
      <c r="A100">
        <v>1088</v>
      </c>
      <c r="B100" s="3">
        <v>46083</v>
      </c>
      <c r="C100" t="s">
        <v>14</v>
      </c>
      <c r="D100" t="s">
        <v>12</v>
      </c>
      <c r="E100">
        <v>3</v>
      </c>
      <c r="F100">
        <v>19373.099999999999</v>
      </c>
      <c r="G100">
        <v>58119.3</v>
      </c>
    </row>
    <row r="101" spans="1:7" x14ac:dyDescent="0.3">
      <c r="A101">
        <v>1277</v>
      </c>
      <c r="B101" s="3">
        <v>46083</v>
      </c>
      <c r="C101" t="s">
        <v>16</v>
      </c>
      <c r="D101" t="s">
        <v>8</v>
      </c>
      <c r="E101">
        <v>1</v>
      </c>
      <c r="F101">
        <v>1402.27</v>
      </c>
      <c r="G101">
        <v>1402.27</v>
      </c>
    </row>
    <row r="102" spans="1:7" x14ac:dyDescent="0.3">
      <c r="A102">
        <v>1055</v>
      </c>
      <c r="B102" s="3">
        <v>46083</v>
      </c>
      <c r="C102" t="s">
        <v>14</v>
      </c>
      <c r="D102" t="s">
        <v>12</v>
      </c>
      <c r="E102">
        <v>7</v>
      </c>
      <c r="F102">
        <v>17948.310000000001</v>
      </c>
      <c r="G102">
        <v>125638.17</v>
      </c>
    </row>
    <row r="103" spans="1:7" x14ac:dyDescent="0.3">
      <c r="A103">
        <v>1113</v>
      </c>
      <c r="B103" s="3">
        <v>46083</v>
      </c>
      <c r="C103" t="s">
        <v>7</v>
      </c>
      <c r="D103" t="s">
        <v>8</v>
      </c>
      <c r="E103">
        <v>4</v>
      </c>
      <c r="F103">
        <v>955.18</v>
      </c>
      <c r="G103">
        <v>3820.72</v>
      </c>
    </row>
    <row r="104" spans="1:7" x14ac:dyDescent="0.3">
      <c r="A104">
        <v>1035</v>
      </c>
      <c r="B104" s="3">
        <v>46084</v>
      </c>
      <c r="C104" t="s">
        <v>11</v>
      </c>
      <c r="D104" t="s">
        <v>12</v>
      </c>
      <c r="E104">
        <v>2</v>
      </c>
      <c r="F104">
        <v>23020.39</v>
      </c>
      <c r="G104">
        <v>46040.78</v>
      </c>
    </row>
    <row r="105" spans="1:7" x14ac:dyDescent="0.3">
      <c r="A105">
        <v>1002</v>
      </c>
      <c r="B105" s="3">
        <v>46085</v>
      </c>
      <c r="C105" t="s">
        <v>13</v>
      </c>
      <c r="D105" t="s">
        <v>8</v>
      </c>
      <c r="E105">
        <v>3</v>
      </c>
      <c r="F105">
        <v>2618.2399999999998</v>
      </c>
      <c r="G105">
        <v>7854.72</v>
      </c>
    </row>
    <row r="106" spans="1:7" x14ac:dyDescent="0.3">
      <c r="A106">
        <v>1214</v>
      </c>
      <c r="B106" s="3">
        <v>46085</v>
      </c>
      <c r="C106" t="s">
        <v>17</v>
      </c>
      <c r="D106" t="s">
        <v>10</v>
      </c>
      <c r="E106">
        <v>3</v>
      </c>
      <c r="F106">
        <v>11720.61</v>
      </c>
      <c r="G106">
        <v>35161.83</v>
      </c>
    </row>
    <row r="107" spans="1:7" x14ac:dyDescent="0.3">
      <c r="A107">
        <v>1271</v>
      </c>
      <c r="B107" s="3">
        <v>46085</v>
      </c>
      <c r="C107" t="s">
        <v>14</v>
      </c>
      <c r="D107" t="s">
        <v>12</v>
      </c>
      <c r="E107">
        <v>4</v>
      </c>
      <c r="F107">
        <v>16447</v>
      </c>
      <c r="G107">
        <v>65788</v>
      </c>
    </row>
    <row r="108" spans="1:7" x14ac:dyDescent="0.3">
      <c r="A108">
        <v>1117</v>
      </c>
      <c r="B108" s="3">
        <v>46085</v>
      </c>
      <c r="C108" t="s">
        <v>14</v>
      </c>
      <c r="D108" t="s">
        <v>12</v>
      </c>
      <c r="E108">
        <v>1</v>
      </c>
      <c r="F108">
        <v>19413.580000000002</v>
      </c>
      <c r="G108">
        <v>19413.580000000002</v>
      </c>
    </row>
    <row r="109" spans="1:7" x14ac:dyDescent="0.3">
      <c r="A109">
        <v>1023</v>
      </c>
      <c r="B109" s="3">
        <v>46086</v>
      </c>
      <c r="C109" t="s">
        <v>7</v>
      </c>
      <c r="D109" t="s">
        <v>8</v>
      </c>
      <c r="E109">
        <v>7</v>
      </c>
      <c r="F109">
        <v>971.61</v>
      </c>
      <c r="G109">
        <v>6801.27</v>
      </c>
    </row>
    <row r="110" spans="1:7" x14ac:dyDescent="0.3">
      <c r="A110">
        <v>1204</v>
      </c>
      <c r="B110" s="3">
        <v>46087</v>
      </c>
      <c r="C110" t="s">
        <v>16</v>
      </c>
      <c r="D110" t="s">
        <v>8</v>
      </c>
      <c r="E110">
        <v>2</v>
      </c>
      <c r="F110">
        <v>1641.06</v>
      </c>
      <c r="G110">
        <v>3282.12</v>
      </c>
    </row>
    <row r="111" spans="1:7" x14ac:dyDescent="0.3">
      <c r="A111">
        <v>1146</v>
      </c>
      <c r="B111" s="3">
        <v>46088</v>
      </c>
      <c r="C111" t="s">
        <v>16</v>
      </c>
      <c r="D111" t="s">
        <v>8</v>
      </c>
      <c r="E111">
        <v>3</v>
      </c>
      <c r="F111">
        <v>1531.77</v>
      </c>
      <c r="G111">
        <v>4595.3100000000004</v>
      </c>
    </row>
    <row r="112" spans="1:7" x14ac:dyDescent="0.3">
      <c r="A112">
        <v>1251</v>
      </c>
      <c r="B112" s="3">
        <v>46088</v>
      </c>
      <c r="C112" t="s">
        <v>17</v>
      </c>
      <c r="D112" t="s">
        <v>10</v>
      </c>
      <c r="E112">
        <v>5</v>
      </c>
      <c r="F112">
        <v>12591.74</v>
      </c>
      <c r="G112">
        <v>62958.7</v>
      </c>
    </row>
    <row r="113" spans="1:7" x14ac:dyDescent="0.3">
      <c r="A113">
        <v>1098</v>
      </c>
      <c r="B113" s="3">
        <v>46089</v>
      </c>
      <c r="C113" t="s">
        <v>14</v>
      </c>
      <c r="D113" t="s">
        <v>12</v>
      </c>
      <c r="E113">
        <v>5</v>
      </c>
      <c r="F113">
        <v>16337.73</v>
      </c>
      <c r="G113">
        <v>81688.649999999994</v>
      </c>
    </row>
    <row r="114" spans="1:7" x14ac:dyDescent="0.3">
      <c r="A114">
        <v>1160</v>
      </c>
      <c r="B114" s="3">
        <v>46089</v>
      </c>
      <c r="C114" t="s">
        <v>16</v>
      </c>
      <c r="D114" t="s">
        <v>8</v>
      </c>
      <c r="E114">
        <v>5</v>
      </c>
      <c r="F114">
        <v>1614.1</v>
      </c>
      <c r="G114">
        <v>8070.5</v>
      </c>
    </row>
    <row r="115" spans="1:7" x14ac:dyDescent="0.3">
      <c r="A115">
        <v>1185</v>
      </c>
      <c r="B115" s="3">
        <v>46090</v>
      </c>
      <c r="C115" t="s">
        <v>11</v>
      </c>
      <c r="D115" t="s">
        <v>12</v>
      </c>
      <c r="E115">
        <v>3</v>
      </c>
      <c r="F115">
        <v>20855.41</v>
      </c>
      <c r="G115">
        <v>62566.23</v>
      </c>
    </row>
    <row r="116" spans="1:7" x14ac:dyDescent="0.3">
      <c r="A116">
        <v>1226</v>
      </c>
      <c r="B116" s="3">
        <v>46090</v>
      </c>
      <c r="C116" t="s">
        <v>16</v>
      </c>
      <c r="D116" t="s">
        <v>8</v>
      </c>
      <c r="E116">
        <v>7</v>
      </c>
      <c r="F116">
        <v>1544.95</v>
      </c>
      <c r="G116">
        <v>10814.65</v>
      </c>
    </row>
    <row r="117" spans="1:7" x14ac:dyDescent="0.3">
      <c r="A117">
        <v>1031</v>
      </c>
      <c r="B117" s="3">
        <v>46090</v>
      </c>
      <c r="C117" t="s">
        <v>14</v>
      </c>
      <c r="D117" t="s">
        <v>12</v>
      </c>
      <c r="E117">
        <v>2</v>
      </c>
      <c r="F117">
        <v>19333.87</v>
      </c>
      <c r="G117">
        <v>38667.74</v>
      </c>
    </row>
    <row r="118" spans="1:7" x14ac:dyDescent="0.3">
      <c r="A118">
        <v>1078</v>
      </c>
      <c r="B118" s="3">
        <v>46090</v>
      </c>
      <c r="C118" t="s">
        <v>17</v>
      </c>
      <c r="D118" t="s">
        <v>10</v>
      </c>
      <c r="E118">
        <v>5</v>
      </c>
      <c r="F118">
        <v>12972.81</v>
      </c>
      <c r="G118">
        <v>64864.05</v>
      </c>
    </row>
    <row r="119" spans="1:7" x14ac:dyDescent="0.3">
      <c r="A119">
        <v>1018</v>
      </c>
      <c r="B119" s="3">
        <v>46092</v>
      </c>
      <c r="C119" t="s">
        <v>13</v>
      </c>
      <c r="D119" t="s">
        <v>8</v>
      </c>
      <c r="E119">
        <v>6</v>
      </c>
      <c r="F119">
        <v>2671.43</v>
      </c>
      <c r="G119">
        <v>16028.58</v>
      </c>
    </row>
    <row r="120" spans="1:7" x14ac:dyDescent="0.3">
      <c r="A120">
        <v>1213</v>
      </c>
      <c r="B120" s="3">
        <v>46092</v>
      </c>
      <c r="C120" t="s">
        <v>9</v>
      </c>
      <c r="D120" t="s">
        <v>10</v>
      </c>
      <c r="E120">
        <v>8</v>
      </c>
      <c r="F120">
        <v>9316.42</v>
      </c>
      <c r="G120">
        <v>74531.360000000001</v>
      </c>
    </row>
    <row r="121" spans="1:7" x14ac:dyDescent="0.3">
      <c r="A121">
        <v>1268</v>
      </c>
      <c r="B121" s="3">
        <v>46093</v>
      </c>
      <c r="C121" t="s">
        <v>13</v>
      </c>
      <c r="D121" t="s">
        <v>8</v>
      </c>
      <c r="E121">
        <v>2</v>
      </c>
      <c r="F121">
        <v>2724.51</v>
      </c>
      <c r="G121">
        <v>5449.02</v>
      </c>
    </row>
    <row r="122" spans="1:7" x14ac:dyDescent="0.3">
      <c r="A122">
        <v>1125</v>
      </c>
      <c r="B122" s="3">
        <v>46093</v>
      </c>
      <c r="C122" t="s">
        <v>17</v>
      </c>
      <c r="D122" t="s">
        <v>10</v>
      </c>
      <c r="E122">
        <v>2</v>
      </c>
      <c r="F122">
        <v>12512.51</v>
      </c>
      <c r="G122">
        <v>25025.02</v>
      </c>
    </row>
    <row r="123" spans="1:7" x14ac:dyDescent="0.3">
      <c r="A123">
        <v>1045</v>
      </c>
      <c r="B123" s="3">
        <v>46094</v>
      </c>
      <c r="C123" t="s">
        <v>17</v>
      </c>
      <c r="D123" t="s">
        <v>10</v>
      </c>
      <c r="E123">
        <v>4</v>
      </c>
      <c r="F123">
        <v>12094.16</v>
      </c>
      <c r="G123">
        <v>48376.639999999999</v>
      </c>
    </row>
    <row r="124" spans="1:7" x14ac:dyDescent="0.3">
      <c r="A124">
        <v>1052</v>
      </c>
      <c r="B124" s="3">
        <v>46094</v>
      </c>
      <c r="C124" t="s">
        <v>17</v>
      </c>
      <c r="D124" t="s">
        <v>10</v>
      </c>
      <c r="E124">
        <v>4</v>
      </c>
      <c r="F124">
        <v>12898.77</v>
      </c>
      <c r="G124">
        <v>51595.08</v>
      </c>
    </row>
    <row r="125" spans="1:7" x14ac:dyDescent="0.3">
      <c r="A125">
        <v>1265</v>
      </c>
      <c r="B125" s="3">
        <v>46094</v>
      </c>
      <c r="C125" t="s">
        <v>15</v>
      </c>
      <c r="D125" t="s">
        <v>12</v>
      </c>
      <c r="E125">
        <v>6</v>
      </c>
      <c r="F125">
        <v>51889.97</v>
      </c>
      <c r="G125">
        <v>311339.82</v>
      </c>
    </row>
    <row r="126" spans="1:7" x14ac:dyDescent="0.3">
      <c r="A126">
        <v>1096</v>
      </c>
      <c r="B126" s="3">
        <v>46094</v>
      </c>
      <c r="C126" t="s">
        <v>16</v>
      </c>
      <c r="D126" t="s">
        <v>8</v>
      </c>
      <c r="E126">
        <v>7</v>
      </c>
      <c r="F126">
        <v>1553.86</v>
      </c>
      <c r="G126">
        <v>10877.02</v>
      </c>
    </row>
    <row r="127" spans="1:7" x14ac:dyDescent="0.3">
      <c r="A127">
        <v>1217</v>
      </c>
      <c r="B127" s="3">
        <v>46095</v>
      </c>
      <c r="C127" t="s">
        <v>7</v>
      </c>
      <c r="D127" t="s">
        <v>8</v>
      </c>
      <c r="E127">
        <v>8</v>
      </c>
      <c r="F127">
        <v>965.75</v>
      </c>
      <c r="G127">
        <v>7726</v>
      </c>
    </row>
    <row r="128" spans="1:7" x14ac:dyDescent="0.3">
      <c r="A128">
        <v>1245</v>
      </c>
      <c r="B128" s="3">
        <v>46096</v>
      </c>
      <c r="C128" t="s">
        <v>13</v>
      </c>
      <c r="D128" t="s">
        <v>8</v>
      </c>
      <c r="E128">
        <v>6</v>
      </c>
      <c r="F128">
        <v>2359.5</v>
      </c>
      <c r="G128">
        <v>14157</v>
      </c>
    </row>
    <row r="129" spans="1:7" x14ac:dyDescent="0.3">
      <c r="A129">
        <v>1188</v>
      </c>
      <c r="B129" s="3">
        <v>46096</v>
      </c>
      <c r="C129" t="s">
        <v>7</v>
      </c>
      <c r="D129" t="s">
        <v>8</v>
      </c>
      <c r="E129">
        <v>8</v>
      </c>
      <c r="F129">
        <v>822.81</v>
      </c>
      <c r="G129">
        <v>6582.48</v>
      </c>
    </row>
    <row r="130" spans="1:7" x14ac:dyDescent="0.3">
      <c r="A130">
        <v>1208</v>
      </c>
      <c r="B130" s="3">
        <v>46096</v>
      </c>
      <c r="C130" t="s">
        <v>17</v>
      </c>
      <c r="D130" t="s">
        <v>10</v>
      </c>
      <c r="E130">
        <v>8</v>
      </c>
      <c r="F130">
        <v>11091.42</v>
      </c>
      <c r="G130">
        <v>88731.36</v>
      </c>
    </row>
    <row r="131" spans="1:7" x14ac:dyDescent="0.3">
      <c r="A131">
        <v>1249</v>
      </c>
      <c r="B131" s="3">
        <v>46098</v>
      </c>
      <c r="C131" t="s">
        <v>16</v>
      </c>
      <c r="D131" t="s">
        <v>8</v>
      </c>
      <c r="E131">
        <v>7</v>
      </c>
      <c r="F131">
        <v>1402.69</v>
      </c>
      <c r="G131">
        <v>9818.83</v>
      </c>
    </row>
    <row r="132" spans="1:7" x14ac:dyDescent="0.3">
      <c r="A132">
        <v>1032</v>
      </c>
      <c r="B132" s="3">
        <v>46099</v>
      </c>
      <c r="C132" t="s">
        <v>13</v>
      </c>
      <c r="D132" t="s">
        <v>8</v>
      </c>
      <c r="E132">
        <v>3</v>
      </c>
      <c r="F132">
        <v>2436.96</v>
      </c>
      <c r="G132">
        <v>7310.88</v>
      </c>
    </row>
    <row r="133" spans="1:7" x14ac:dyDescent="0.3">
      <c r="A133">
        <v>1173</v>
      </c>
      <c r="B133" s="3">
        <v>46100</v>
      </c>
      <c r="C133" t="s">
        <v>15</v>
      </c>
      <c r="D133" t="s">
        <v>12</v>
      </c>
      <c r="E133">
        <v>3</v>
      </c>
      <c r="F133">
        <v>52517.42</v>
      </c>
      <c r="G133">
        <v>157552.26</v>
      </c>
    </row>
    <row r="134" spans="1:7" x14ac:dyDescent="0.3">
      <c r="A134">
        <v>1261</v>
      </c>
      <c r="B134" s="3">
        <v>46100</v>
      </c>
      <c r="C134" t="s">
        <v>17</v>
      </c>
      <c r="D134" t="s">
        <v>10</v>
      </c>
      <c r="E134">
        <v>2</v>
      </c>
      <c r="F134">
        <v>11033.26</v>
      </c>
      <c r="G134">
        <v>22066.52</v>
      </c>
    </row>
    <row r="135" spans="1:7" x14ac:dyDescent="0.3">
      <c r="A135">
        <v>1150</v>
      </c>
      <c r="B135" s="3">
        <v>46100</v>
      </c>
      <c r="C135" t="s">
        <v>11</v>
      </c>
      <c r="D135" t="s">
        <v>12</v>
      </c>
      <c r="E135">
        <v>1</v>
      </c>
      <c r="F135">
        <v>21327.7</v>
      </c>
      <c r="G135">
        <v>21327.7</v>
      </c>
    </row>
    <row r="136" spans="1:7" x14ac:dyDescent="0.3">
      <c r="A136">
        <v>1085</v>
      </c>
      <c r="B136" s="3">
        <v>46101</v>
      </c>
      <c r="C136" t="s">
        <v>16</v>
      </c>
      <c r="D136" t="s">
        <v>8</v>
      </c>
      <c r="E136">
        <v>1</v>
      </c>
      <c r="F136">
        <v>1619.68</v>
      </c>
      <c r="G136">
        <v>1619.68</v>
      </c>
    </row>
    <row r="137" spans="1:7" x14ac:dyDescent="0.3">
      <c r="A137">
        <v>1192</v>
      </c>
      <c r="B137" s="3">
        <v>46101</v>
      </c>
      <c r="C137" t="s">
        <v>7</v>
      </c>
      <c r="D137" t="s">
        <v>8</v>
      </c>
      <c r="E137">
        <v>8</v>
      </c>
      <c r="F137">
        <v>832.38</v>
      </c>
      <c r="G137">
        <v>6659.04</v>
      </c>
    </row>
    <row r="138" spans="1:7" x14ac:dyDescent="0.3">
      <c r="A138">
        <v>1292</v>
      </c>
      <c r="B138" s="3">
        <v>46103</v>
      </c>
      <c r="C138" t="s">
        <v>7</v>
      </c>
      <c r="D138" t="s">
        <v>8</v>
      </c>
      <c r="E138">
        <v>6</v>
      </c>
      <c r="F138">
        <v>981.65</v>
      </c>
      <c r="G138">
        <v>5889.9</v>
      </c>
    </row>
    <row r="139" spans="1:7" x14ac:dyDescent="0.3">
      <c r="A139">
        <v>1100</v>
      </c>
      <c r="B139" s="3">
        <v>46103</v>
      </c>
      <c r="C139" t="s">
        <v>9</v>
      </c>
      <c r="D139" t="s">
        <v>10</v>
      </c>
      <c r="E139">
        <v>2</v>
      </c>
      <c r="F139">
        <v>8304.83</v>
      </c>
      <c r="G139">
        <v>16609.66</v>
      </c>
    </row>
    <row r="140" spans="1:7" x14ac:dyDescent="0.3">
      <c r="A140">
        <v>1067</v>
      </c>
      <c r="B140" s="3">
        <v>46103</v>
      </c>
      <c r="C140" t="s">
        <v>13</v>
      </c>
      <c r="D140" t="s">
        <v>8</v>
      </c>
      <c r="E140">
        <v>5</v>
      </c>
      <c r="F140">
        <v>2447.89</v>
      </c>
      <c r="G140">
        <v>12239.45</v>
      </c>
    </row>
    <row r="141" spans="1:7" x14ac:dyDescent="0.3">
      <c r="A141">
        <v>1159</v>
      </c>
      <c r="B141" s="3">
        <v>46106</v>
      </c>
      <c r="C141" t="s">
        <v>14</v>
      </c>
      <c r="D141" t="s">
        <v>12</v>
      </c>
      <c r="E141">
        <v>8</v>
      </c>
      <c r="F141">
        <v>16963.63</v>
      </c>
      <c r="G141">
        <v>135709.04</v>
      </c>
    </row>
    <row r="142" spans="1:7" x14ac:dyDescent="0.3">
      <c r="A142">
        <v>1105</v>
      </c>
      <c r="B142" s="3">
        <v>46106</v>
      </c>
      <c r="C142" t="s">
        <v>9</v>
      </c>
      <c r="D142" t="s">
        <v>10</v>
      </c>
      <c r="E142">
        <v>5</v>
      </c>
      <c r="F142">
        <v>8592.5</v>
      </c>
      <c r="G142">
        <v>42962.5</v>
      </c>
    </row>
    <row r="143" spans="1:7" x14ac:dyDescent="0.3">
      <c r="A143">
        <v>1227</v>
      </c>
      <c r="B143" s="3">
        <v>46107</v>
      </c>
      <c r="C143" t="s">
        <v>9</v>
      </c>
      <c r="D143" t="s">
        <v>10</v>
      </c>
      <c r="E143">
        <v>6</v>
      </c>
      <c r="F143">
        <v>8715.56</v>
      </c>
      <c r="G143">
        <v>52293.36</v>
      </c>
    </row>
    <row r="144" spans="1:7" x14ac:dyDescent="0.3">
      <c r="A144">
        <v>1252</v>
      </c>
      <c r="B144" s="3">
        <v>46109</v>
      </c>
      <c r="C144" t="s">
        <v>11</v>
      </c>
      <c r="D144" t="s">
        <v>12</v>
      </c>
      <c r="E144">
        <v>8</v>
      </c>
      <c r="F144">
        <v>24036.73</v>
      </c>
      <c r="G144">
        <v>192293.84</v>
      </c>
    </row>
    <row r="145" spans="1:7" x14ac:dyDescent="0.3">
      <c r="A145">
        <v>1140</v>
      </c>
      <c r="B145" s="3">
        <v>46109</v>
      </c>
      <c r="C145" t="s">
        <v>9</v>
      </c>
      <c r="D145" t="s">
        <v>10</v>
      </c>
      <c r="E145">
        <v>5</v>
      </c>
      <c r="F145">
        <v>8928.42</v>
      </c>
      <c r="G145">
        <v>44642.1</v>
      </c>
    </row>
    <row r="146" spans="1:7" x14ac:dyDescent="0.3">
      <c r="A146">
        <v>1050</v>
      </c>
      <c r="B146" s="3">
        <v>46109</v>
      </c>
      <c r="C146" t="s">
        <v>11</v>
      </c>
      <c r="D146" t="s">
        <v>12</v>
      </c>
      <c r="E146">
        <v>4</v>
      </c>
      <c r="F146">
        <v>20643</v>
      </c>
      <c r="G146">
        <v>82572</v>
      </c>
    </row>
    <row r="147" spans="1:7" x14ac:dyDescent="0.3">
      <c r="A147">
        <v>1042</v>
      </c>
      <c r="B147" s="3">
        <v>46109</v>
      </c>
      <c r="C147" t="s">
        <v>15</v>
      </c>
      <c r="D147" t="s">
        <v>12</v>
      </c>
      <c r="E147">
        <v>4</v>
      </c>
      <c r="F147">
        <v>55972.84</v>
      </c>
      <c r="G147">
        <v>223891.36</v>
      </c>
    </row>
    <row r="148" spans="1:7" x14ac:dyDescent="0.3">
      <c r="A148">
        <v>1152</v>
      </c>
      <c r="B148" s="3">
        <v>46110</v>
      </c>
      <c r="C148" t="s">
        <v>15</v>
      </c>
      <c r="D148" t="s">
        <v>12</v>
      </c>
      <c r="E148">
        <v>7</v>
      </c>
      <c r="F148">
        <v>58545.64</v>
      </c>
      <c r="G148">
        <v>409819.48</v>
      </c>
    </row>
    <row r="149" spans="1:7" x14ac:dyDescent="0.3">
      <c r="A149">
        <v>1167</v>
      </c>
      <c r="B149" s="3">
        <v>46111</v>
      </c>
      <c r="C149" t="s">
        <v>9</v>
      </c>
      <c r="D149" t="s">
        <v>10</v>
      </c>
      <c r="E149">
        <v>6</v>
      </c>
      <c r="F149">
        <v>8248.08</v>
      </c>
      <c r="G149">
        <v>49488.480000000003</v>
      </c>
    </row>
    <row r="150" spans="1:7" x14ac:dyDescent="0.3">
      <c r="A150">
        <v>1239</v>
      </c>
      <c r="B150" s="3">
        <v>46111</v>
      </c>
      <c r="C150" t="s">
        <v>7</v>
      </c>
      <c r="D150" t="s">
        <v>8</v>
      </c>
      <c r="E150">
        <v>7</v>
      </c>
      <c r="F150">
        <v>934.26</v>
      </c>
      <c r="G150">
        <v>6539.82</v>
      </c>
    </row>
    <row r="151" spans="1:7" x14ac:dyDescent="0.3">
      <c r="A151">
        <v>1132</v>
      </c>
      <c r="B151" s="3">
        <v>46113</v>
      </c>
      <c r="C151" t="s">
        <v>7</v>
      </c>
      <c r="D151" t="s">
        <v>8</v>
      </c>
      <c r="E151">
        <v>7</v>
      </c>
      <c r="F151">
        <v>963.62</v>
      </c>
      <c r="G151">
        <v>6745.34</v>
      </c>
    </row>
    <row r="152" spans="1:7" x14ac:dyDescent="0.3">
      <c r="A152">
        <v>1242</v>
      </c>
      <c r="B152" s="3">
        <v>46114</v>
      </c>
      <c r="C152" t="s">
        <v>7</v>
      </c>
      <c r="D152" t="s">
        <v>8</v>
      </c>
      <c r="E152">
        <v>5</v>
      </c>
      <c r="F152">
        <v>813.95</v>
      </c>
      <c r="G152">
        <v>4069.75</v>
      </c>
    </row>
    <row r="153" spans="1:7" x14ac:dyDescent="0.3">
      <c r="A153">
        <v>1295</v>
      </c>
      <c r="B153" s="3">
        <v>46118</v>
      </c>
      <c r="C153" t="s">
        <v>14</v>
      </c>
      <c r="D153" t="s">
        <v>12</v>
      </c>
      <c r="E153">
        <v>1</v>
      </c>
      <c r="F153">
        <v>18311.27</v>
      </c>
      <c r="G153">
        <v>18311.27</v>
      </c>
    </row>
    <row r="154" spans="1:7" x14ac:dyDescent="0.3">
      <c r="A154">
        <v>1257</v>
      </c>
      <c r="B154" s="3">
        <v>46118</v>
      </c>
      <c r="C154" t="s">
        <v>11</v>
      </c>
      <c r="D154" t="s">
        <v>12</v>
      </c>
      <c r="E154">
        <v>4</v>
      </c>
      <c r="F154">
        <v>21874.5</v>
      </c>
      <c r="G154">
        <v>87498</v>
      </c>
    </row>
    <row r="155" spans="1:7" x14ac:dyDescent="0.3">
      <c r="A155">
        <v>1011</v>
      </c>
      <c r="B155" s="3">
        <v>46119</v>
      </c>
      <c r="C155" t="s">
        <v>11</v>
      </c>
      <c r="D155" t="s">
        <v>12</v>
      </c>
      <c r="E155">
        <v>5</v>
      </c>
      <c r="F155">
        <v>23449.38</v>
      </c>
      <c r="G155">
        <v>117246.9</v>
      </c>
    </row>
    <row r="156" spans="1:7" x14ac:dyDescent="0.3">
      <c r="A156">
        <v>1182</v>
      </c>
      <c r="B156" s="3">
        <v>46120</v>
      </c>
      <c r="C156" t="s">
        <v>17</v>
      </c>
      <c r="D156" t="s">
        <v>10</v>
      </c>
      <c r="E156">
        <v>8</v>
      </c>
      <c r="F156">
        <v>11513.65</v>
      </c>
      <c r="G156">
        <v>92109.2</v>
      </c>
    </row>
    <row r="157" spans="1:7" x14ac:dyDescent="0.3">
      <c r="A157">
        <v>1222</v>
      </c>
      <c r="B157" s="3">
        <v>46120</v>
      </c>
      <c r="C157" t="s">
        <v>9</v>
      </c>
      <c r="D157" t="s">
        <v>10</v>
      </c>
      <c r="E157">
        <v>3</v>
      </c>
      <c r="F157">
        <v>8492.06</v>
      </c>
      <c r="G157">
        <v>25476.18</v>
      </c>
    </row>
    <row r="158" spans="1:7" x14ac:dyDescent="0.3">
      <c r="A158">
        <v>1139</v>
      </c>
      <c r="B158" s="3">
        <v>46120</v>
      </c>
      <c r="C158" t="s">
        <v>16</v>
      </c>
      <c r="D158" t="s">
        <v>8</v>
      </c>
      <c r="E158">
        <v>4</v>
      </c>
      <c r="F158">
        <v>1486.41</v>
      </c>
      <c r="G158">
        <v>5945.64</v>
      </c>
    </row>
    <row r="159" spans="1:7" x14ac:dyDescent="0.3">
      <c r="A159">
        <v>1235</v>
      </c>
      <c r="B159" s="3">
        <v>46120</v>
      </c>
      <c r="C159" t="s">
        <v>13</v>
      </c>
      <c r="D159" t="s">
        <v>8</v>
      </c>
      <c r="E159">
        <v>8</v>
      </c>
      <c r="F159">
        <v>2706.41</v>
      </c>
      <c r="G159">
        <v>21651.279999999999</v>
      </c>
    </row>
    <row r="160" spans="1:7" x14ac:dyDescent="0.3">
      <c r="A160">
        <v>1128</v>
      </c>
      <c r="B160" s="3">
        <v>46121</v>
      </c>
      <c r="C160" t="s">
        <v>14</v>
      </c>
      <c r="D160" t="s">
        <v>12</v>
      </c>
      <c r="E160">
        <v>4</v>
      </c>
      <c r="F160">
        <v>16431.22</v>
      </c>
      <c r="G160">
        <v>65724.88</v>
      </c>
    </row>
    <row r="161" spans="1:7" x14ac:dyDescent="0.3">
      <c r="A161">
        <v>1022</v>
      </c>
      <c r="B161" s="3">
        <v>46124</v>
      </c>
      <c r="C161" t="s">
        <v>17</v>
      </c>
      <c r="D161" t="s">
        <v>10</v>
      </c>
      <c r="E161">
        <v>3</v>
      </c>
      <c r="F161">
        <v>11435.71</v>
      </c>
      <c r="G161">
        <v>34307.129999999997</v>
      </c>
    </row>
    <row r="162" spans="1:7" x14ac:dyDescent="0.3">
      <c r="A162">
        <v>1095</v>
      </c>
      <c r="B162" s="3">
        <v>46125</v>
      </c>
      <c r="C162" t="s">
        <v>16</v>
      </c>
      <c r="D162" t="s">
        <v>8</v>
      </c>
      <c r="E162">
        <v>5</v>
      </c>
      <c r="F162">
        <v>1609.31</v>
      </c>
      <c r="G162">
        <v>8046.55</v>
      </c>
    </row>
    <row r="163" spans="1:7" x14ac:dyDescent="0.3">
      <c r="A163">
        <v>1020</v>
      </c>
      <c r="B163" s="3">
        <v>46125</v>
      </c>
      <c r="C163" t="s">
        <v>7</v>
      </c>
      <c r="D163" t="s">
        <v>8</v>
      </c>
      <c r="E163">
        <v>2</v>
      </c>
      <c r="F163">
        <v>847.98</v>
      </c>
      <c r="G163">
        <v>1695.96</v>
      </c>
    </row>
    <row r="164" spans="1:7" x14ac:dyDescent="0.3">
      <c r="A164">
        <v>1203</v>
      </c>
      <c r="B164" s="3">
        <v>46125</v>
      </c>
      <c r="C164" t="s">
        <v>15</v>
      </c>
      <c r="D164" t="s">
        <v>12</v>
      </c>
      <c r="E164">
        <v>8</v>
      </c>
      <c r="F164">
        <v>50468.66</v>
      </c>
      <c r="G164">
        <v>403749.28</v>
      </c>
    </row>
    <row r="165" spans="1:7" x14ac:dyDescent="0.3">
      <c r="A165">
        <v>1291</v>
      </c>
      <c r="B165" s="3">
        <v>46125</v>
      </c>
      <c r="C165" t="s">
        <v>9</v>
      </c>
      <c r="D165" t="s">
        <v>10</v>
      </c>
      <c r="E165">
        <v>2</v>
      </c>
      <c r="F165">
        <v>8181.33</v>
      </c>
      <c r="G165">
        <v>16362.66</v>
      </c>
    </row>
    <row r="166" spans="1:7" x14ac:dyDescent="0.3">
      <c r="A166">
        <v>1024</v>
      </c>
      <c r="B166" s="3">
        <v>46125</v>
      </c>
      <c r="C166" t="s">
        <v>16</v>
      </c>
      <c r="D166" t="s">
        <v>8</v>
      </c>
      <c r="E166">
        <v>4</v>
      </c>
      <c r="F166">
        <v>1649.2</v>
      </c>
      <c r="G166">
        <v>6596.8</v>
      </c>
    </row>
    <row r="167" spans="1:7" x14ac:dyDescent="0.3">
      <c r="A167">
        <v>1205</v>
      </c>
      <c r="B167" s="3">
        <v>46126</v>
      </c>
      <c r="C167" t="s">
        <v>15</v>
      </c>
      <c r="D167" t="s">
        <v>12</v>
      </c>
      <c r="E167">
        <v>8</v>
      </c>
      <c r="F167">
        <v>54045.72</v>
      </c>
      <c r="G167">
        <v>432365.76</v>
      </c>
    </row>
    <row r="168" spans="1:7" x14ac:dyDescent="0.3">
      <c r="A168">
        <v>1129</v>
      </c>
      <c r="B168" s="3">
        <v>46127</v>
      </c>
      <c r="C168" t="s">
        <v>16</v>
      </c>
      <c r="D168" t="s">
        <v>8</v>
      </c>
      <c r="E168">
        <v>8</v>
      </c>
      <c r="F168">
        <v>1474.73</v>
      </c>
      <c r="G168">
        <v>11797.84</v>
      </c>
    </row>
    <row r="169" spans="1:7" x14ac:dyDescent="0.3">
      <c r="A169">
        <v>1047</v>
      </c>
      <c r="B169" s="3">
        <v>46127</v>
      </c>
      <c r="C169" t="s">
        <v>13</v>
      </c>
      <c r="D169" t="s">
        <v>8</v>
      </c>
      <c r="E169">
        <v>2</v>
      </c>
      <c r="F169">
        <v>2298.4699999999998</v>
      </c>
      <c r="G169">
        <v>4596.9399999999996</v>
      </c>
    </row>
    <row r="170" spans="1:7" x14ac:dyDescent="0.3">
      <c r="A170">
        <v>1090</v>
      </c>
      <c r="B170" s="3">
        <v>46128</v>
      </c>
      <c r="C170" t="s">
        <v>13</v>
      </c>
      <c r="D170" t="s">
        <v>8</v>
      </c>
      <c r="E170">
        <v>5</v>
      </c>
      <c r="F170">
        <v>2329.6</v>
      </c>
      <c r="G170">
        <v>11648</v>
      </c>
    </row>
    <row r="171" spans="1:7" x14ac:dyDescent="0.3">
      <c r="A171">
        <v>1221</v>
      </c>
      <c r="B171" s="3">
        <v>46128</v>
      </c>
      <c r="C171" t="s">
        <v>15</v>
      </c>
      <c r="D171" t="s">
        <v>12</v>
      </c>
      <c r="E171">
        <v>6</v>
      </c>
      <c r="F171">
        <v>57691.76</v>
      </c>
      <c r="G171">
        <v>346150.56</v>
      </c>
    </row>
    <row r="172" spans="1:7" x14ac:dyDescent="0.3">
      <c r="A172">
        <v>1216</v>
      </c>
      <c r="B172" s="3">
        <v>46129</v>
      </c>
      <c r="C172" t="s">
        <v>16</v>
      </c>
      <c r="D172" t="s">
        <v>8</v>
      </c>
      <c r="E172">
        <v>5</v>
      </c>
      <c r="F172">
        <v>1596.16</v>
      </c>
      <c r="G172">
        <v>7980.8</v>
      </c>
    </row>
    <row r="173" spans="1:7" x14ac:dyDescent="0.3">
      <c r="A173">
        <v>1133</v>
      </c>
      <c r="B173" s="3">
        <v>46130</v>
      </c>
      <c r="C173" t="s">
        <v>13</v>
      </c>
      <c r="D173" t="s">
        <v>8</v>
      </c>
      <c r="E173">
        <v>8</v>
      </c>
      <c r="F173">
        <v>2359.71</v>
      </c>
      <c r="G173">
        <v>18877.68</v>
      </c>
    </row>
    <row r="174" spans="1:7" x14ac:dyDescent="0.3">
      <c r="A174">
        <v>1141</v>
      </c>
      <c r="B174" s="3">
        <v>46130</v>
      </c>
      <c r="C174" t="s">
        <v>7</v>
      </c>
      <c r="D174" t="s">
        <v>8</v>
      </c>
      <c r="E174">
        <v>2</v>
      </c>
      <c r="F174">
        <v>894.66</v>
      </c>
      <c r="G174">
        <v>1789.32</v>
      </c>
    </row>
    <row r="175" spans="1:7" x14ac:dyDescent="0.3">
      <c r="A175">
        <v>1066</v>
      </c>
      <c r="B175" s="3">
        <v>46130</v>
      </c>
      <c r="C175" t="s">
        <v>16</v>
      </c>
      <c r="D175" t="s">
        <v>8</v>
      </c>
      <c r="E175">
        <v>5</v>
      </c>
      <c r="F175">
        <v>1411.28</v>
      </c>
      <c r="G175">
        <v>7056.4</v>
      </c>
    </row>
    <row r="176" spans="1:7" x14ac:dyDescent="0.3">
      <c r="A176">
        <v>1027</v>
      </c>
      <c r="B176" s="3">
        <v>46131</v>
      </c>
      <c r="C176" t="s">
        <v>11</v>
      </c>
      <c r="D176" t="s">
        <v>12</v>
      </c>
      <c r="E176">
        <v>7</v>
      </c>
      <c r="F176">
        <v>21479.119999999999</v>
      </c>
      <c r="G176">
        <v>150353.84</v>
      </c>
    </row>
    <row r="177" spans="1:7" x14ac:dyDescent="0.3">
      <c r="A177">
        <v>1283</v>
      </c>
      <c r="B177" s="3">
        <v>46132</v>
      </c>
      <c r="C177" t="s">
        <v>11</v>
      </c>
      <c r="D177" t="s">
        <v>12</v>
      </c>
      <c r="E177">
        <v>8</v>
      </c>
      <c r="F177">
        <v>22934.57</v>
      </c>
      <c r="G177">
        <v>183476.56</v>
      </c>
    </row>
    <row r="178" spans="1:7" x14ac:dyDescent="0.3">
      <c r="A178">
        <v>1151</v>
      </c>
      <c r="B178" s="3">
        <v>46132</v>
      </c>
      <c r="C178" t="s">
        <v>16</v>
      </c>
      <c r="D178" t="s">
        <v>8</v>
      </c>
      <c r="E178">
        <v>2</v>
      </c>
      <c r="F178">
        <v>1501.79</v>
      </c>
      <c r="G178">
        <v>3003.58</v>
      </c>
    </row>
    <row r="179" spans="1:7" x14ac:dyDescent="0.3">
      <c r="A179">
        <v>1048</v>
      </c>
      <c r="B179" s="3">
        <v>46133</v>
      </c>
      <c r="C179" t="s">
        <v>16</v>
      </c>
      <c r="D179" t="s">
        <v>8</v>
      </c>
      <c r="E179">
        <v>7</v>
      </c>
      <c r="F179">
        <v>1473.33</v>
      </c>
      <c r="G179">
        <v>10313.31</v>
      </c>
    </row>
    <row r="180" spans="1:7" x14ac:dyDescent="0.3">
      <c r="A180">
        <v>1288</v>
      </c>
      <c r="B180" s="3">
        <v>46133</v>
      </c>
      <c r="C180" t="s">
        <v>11</v>
      </c>
      <c r="D180" t="s">
        <v>12</v>
      </c>
      <c r="E180">
        <v>2</v>
      </c>
      <c r="F180">
        <v>23552.29</v>
      </c>
      <c r="G180">
        <v>47104.58</v>
      </c>
    </row>
    <row r="181" spans="1:7" x14ac:dyDescent="0.3">
      <c r="A181">
        <v>1134</v>
      </c>
      <c r="B181" s="3">
        <v>46134</v>
      </c>
      <c r="C181" t="s">
        <v>17</v>
      </c>
      <c r="D181" t="s">
        <v>10</v>
      </c>
      <c r="E181">
        <v>1</v>
      </c>
      <c r="F181">
        <v>11733.26</v>
      </c>
      <c r="G181">
        <v>11733.26</v>
      </c>
    </row>
    <row r="182" spans="1:7" x14ac:dyDescent="0.3">
      <c r="A182">
        <v>1230</v>
      </c>
      <c r="B182" s="3">
        <v>46134</v>
      </c>
      <c r="C182" t="s">
        <v>11</v>
      </c>
      <c r="D182" t="s">
        <v>12</v>
      </c>
      <c r="E182">
        <v>2</v>
      </c>
      <c r="F182">
        <v>21752.19</v>
      </c>
      <c r="G182">
        <v>43504.38</v>
      </c>
    </row>
    <row r="183" spans="1:7" x14ac:dyDescent="0.3">
      <c r="A183">
        <v>1030</v>
      </c>
      <c r="B183" s="3">
        <v>46134</v>
      </c>
      <c r="C183" t="s">
        <v>14</v>
      </c>
      <c r="D183" t="s">
        <v>12</v>
      </c>
      <c r="E183">
        <v>8</v>
      </c>
      <c r="F183">
        <v>16211.68</v>
      </c>
      <c r="G183">
        <v>129693.44</v>
      </c>
    </row>
    <row r="184" spans="1:7" x14ac:dyDescent="0.3">
      <c r="A184">
        <v>1102</v>
      </c>
      <c r="B184" s="3">
        <v>46134</v>
      </c>
      <c r="C184" t="s">
        <v>15</v>
      </c>
      <c r="D184" t="s">
        <v>12</v>
      </c>
      <c r="E184">
        <v>4</v>
      </c>
      <c r="F184">
        <v>53506.44</v>
      </c>
      <c r="G184">
        <v>214025.76</v>
      </c>
    </row>
    <row r="185" spans="1:7" x14ac:dyDescent="0.3">
      <c r="A185">
        <v>1224</v>
      </c>
      <c r="B185" s="3">
        <v>46135</v>
      </c>
      <c r="C185" t="s">
        <v>11</v>
      </c>
      <c r="D185" t="s">
        <v>12</v>
      </c>
      <c r="E185">
        <v>8</v>
      </c>
      <c r="F185">
        <v>19867.53</v>
      </c>
      <c r="G185">
        <v>158940.24</v>
      </c>
    </row>
    <row r="186" spans="1:7" x14ac:dyDescent="0.3">
      <c r="A186">
        <v>1073</v>
      </c>
      <c r="B186" s="3">
        <v>46135</v>
      </c>
      <c r="C186" t="s">
        <v>7</v>
      </c>
      <c r="D186" t="s">
        <v>8</v>
      </c>
      <c r="E186">
        <v>1</v>
      </c>
      <c r="F186">
        <v>930.22</v>
      </c>
      <c r="G186">
        <v>930.22</v>
      </c>
    </row>
    <row r="187" spans="1:7" x14ac:dyDescent="0.3">
      <c r="A187">
        <v>1284</v>
      </c>
      <c r="B187" s="3">
        <v>46136</v>
      </c>
      <c r="C187" t="s">
        <v>11</v>
      </c>
      <c r="D187" t="s">
        <v>12</v>
      </c>
      <c r="E187">
        <v>2</v>
      </c>
      <c r="F187">
        <v>21217.29</v>
      </c>
      <c r="G187">
        <v>42434.58</v>
      </c>
    </row>
    <row r="188" spans="1:7" x14ac:dyDescent="0.3">
      <c r="A188">
        <v>1266</v>
      </c>
      <c r="B188" s="3">
        <v>46136</v>
      </c>
      <c r="C188" t="s">
        <v>13</v>
      </c>
      <c r="D188" t="s">
        <v>8</v>
      </c>
      <c r="E188">
        <v>6</v>
      </c>
      <c r="F188">
        <v>2299.6799999999998</v>
      </c>
      <c r="G188">
        <v>13798.08</v>
      </c>
    </row>
    <row r="189" spans="1:7" x14ac:dyDescent="0.3">
      <c r="A189">
        <v>1218</v>
      </c>
      <c r="B189" s="3">
        <v>46137</v>
      </c>
      <c r="C189" t="s">
        <v>17</v>
      </c>
      <c r="D189" t="s">
        <v>10</v>
      </c>
      <c r="E189">
        <v>6</v>
      </c>
      <c r="F189">
        <v>11597.86</v>
      </c>
      <c r="G189">
        <v>69587.16</v>
      </c>
    </row>
    <row r="190" spans="1:7" x14ac:dyDescent="0.3">
      <c r="A190">
        <v>1041</v>
      </c>
      <c r="B190" s="3">
        <v>46138</v>
      </c>
      <c r="C190" t="s">
        <v>11</v>
      </c>
      <c r="D190" t="s">
        <v>12</v>
      </c>
      <c r="E190">
        <v>4</v>
      </c>
      <c r="F190">
        <v>20788.669999999998</v>
      </c>
      <c r="G190">
        <v>83154.679999999993</v>
      </c>
    </row>
    <row r="191" spans="1:7" x14ac:dyDescent="0.3">
      <c r="A191">
        <v>1187</v>
      </c>
      <c r="B191" s="3">
        <v>46138</v>
      </c>
      <c r="C191" t="s">
        <v>17</v>
      </c>
      <c r="D191" t="s">
        <v>10</v>
      </c>
      <c r="E191">
        <v>5</v>
      </c>
      <c r="F191">
        <v>10878.34</v>
      </c>
      <c r="G191">
        <v>54391.7</v>
      </c>
    </row>
    <row r="192" spans="1:7" x14ac:dyDescent="0.3">
      <c r="A192">
        <v>1240</v>
      </c>
      <c r="B192" s="3">
        <v>46139</v>
      </c>
      <c r="C192" t="s">
        <v>7</v>
      </c>
      <c r="D192" t="s">
        <v>8</v>
      </c>
      <c r="E192">
        <v>4</v>
      </c>
      <c r="F192">
        <v>989.89</v>
      </c>
      <c r="G192">
        <v>3959.56</v>
      </c>
    </row>
    <row r="193" spans="1:7" x14ac:dyDescent="0.3">
      <c r="A193">
        <v>1058</v>
      </c>
      <c r="B193" s="3">
        <v>46139</v>
      </c>
      <c r="C193" t="s">
        <v>7</v>
      </c>
      <c r="D193" t="s">
        <v>8</v>
      </c>
      <c r="E193">
        <v>7</v>
      </c>
      <c r="F193">
        <v>935.39</v>
      </c>
      <c r="G193">
        <v>6547.73</v>
      </c>
    </row>
    <row r="194" spans="1:7" x14ac:dyDescent="0.3">
      <c r="A194">
        <v>1168</v>
      </c>
      <c r="B194" s="3">
        <v>46139</v>
      </c>
      <c r="C194" t="s">
        <v>7</v>
      </c>
      <c r="D194" t="s">
        <v>8</v>
      </c>
      <c r="E194">
        <v>5</v>
      </c>
      <c r="F194">
        <v>855.25</v>
      </c>
      <c r="G194">
        <v>4276.25</v>
      </c>
    </row>
    <row r="195" spans="1:7" x14ac:dyDescent="0.3">
      <c r="A195">
        <v>1269</v>
      </c>
      <c r="B195" s="3">
        <v>46139</v>
      </c>
      <c r="C195" t="s">
        <v>11</v>
      </c>
      <c r="D195" t="s">
        <v>12</v>
      </c>
      <c r="E195">
        <v>4</v>
      </c>
      <c r="F195">
        <v>22623.5</v>
      </c>
      <c r="G195">
        <v>90494</v>
      </c>
    </row>
    <row r="196" spans="1:7" x14ac:dyDescent="0.3">
      <c r="A196">
        <v>1093</v>
      </c>
      <c r="B196" s="3">
        <v>46140</v>
      </c>
      <c r="C196" t="s">
        <v>16</v>
      </c>
      <c r="D196" t="s">
        <v>8</v>
      </c>
      <c r="E196">
        <v>5</v>
      </c>
      <c r="F196">
        <v>1596.16</v>
      </c>
      <c r="G196">
        <v>7980.8</v>
      </c>
    </row>
    <row r="197" spans="1:7" x14ac:dyDescent="0.3">
      <c r="A197">
        <v>1154</v>
      </c>
      <c r="B197" s="3">
        <v>46140</v>
      </c>
      <c r="C197" t="s">
        <v>14</v>
      </c>
      <c r="D197" t="s">
        <v>12</v>
      </c>
      <c r="E197">
        <v>7</v>
      </c>
      <c r="F197">
        <v>16834.09</v>
      </c>
      <c r="G197">
        <v>117838.63</v>
      </c>
    </row>
    <row r="198" spans="1:7" x14ac:dyDescent="0.3">
      <c r="A198">
        <v>1237</v>
      </c>
      <c r="B198" s="3">
        <v>46140</v>
      </c>
      <c r="C198" t="s">
        <v>7</v>
      </c>
      <c r="D198" t="s">
        <v>8</v>
      </c>
      <c r="E198">
        <v>1</v>
      </c>
      <c r="F198">
        <v>971.8</v>
      </c>
      <c r="G198">
        <v>971.8</v>
      </c>
    </row>
    <row r="199" spans="1:7" x14ac:dyDescent="0.3">
      <c r="A199">
        <v>1158</v>
      </c>
      <c r="B199" s="3">
        <v>46141</v>
      </c>
      <c r="C199" t="s">
        <v>9</v>
      </c>
      <c r="D199" t="s">
        <v>10</v>
      </c>
      <c r="E199">
        <v>6</v>
      </c>
      <c r="F199">
        <v>7698.79</v>
      </c>
      <c r="G199">
        <v>46192.74</v>
      </c>
    </row>
    <row r="200" spans="1:7" x14ac:dyDescent="0.3">
      <c r="A200">
        <v>1028</v>
      </c>
      <c r="B200" s="3">
        <v>46142</v>
      </c>
      <c r="C200" t="s">
        <v>7</v>
      </c>
      <c r="D200" t="s">
        <v>8</v>
      </c>
      <c r="E200">
        <v>1</v>
      </c>
      <c r="F200">
        <v>932.45</v>
      </c>
      <c r="G200">
        <v>932.45</v>
      </c>
    </row>
    <row r="201" spans="1:7" x14ac:dyDescent="0.3">
      <c r="A201">
        <v>1238</v>
      </c>
      <c r="B201" s="3">
        <v>46142</v>
      </c>
      <c r="C201" t="s">
        <v>7</v>
      </c>
      <c r="D201" t="s">
        <v>8</v>
      </c>
      <c r="E201">
        <v>3</v>
      </c>
      <c r="F201">
        <v>823.3</v>
      </c>
      <c r="G201">
        <v>2469.9</v>
      </c>
    </row>
    <row r="202" spans="1:7" x14ac:dyDescent="0.3">
      <c r="A202">
        <v>1200</v>
      </c>
      <c r="B202" s="3">
        <v>46143</v>
      </c>
      <c r="C202" t="s">
        <v>16</v>
      </c>
      <c r="D202" t="s">
        <v>8</v>
      </c>
      <c r="E202">
        <v>7</v>
      </c>
      <c r="F202">
        <v>1449.99</v>
      </c>
      <c r="G202">
        <v>10149.93</v>
      </c>
    </row>
    <row r="203" spans="1:7" x14ac:dyDescent="0.3">
      <c r="A203">
        <v>1176</v>
      </c>
      <c r="B203" s="3">
        <v>46143</v>
      </c>
      <c r="C203" t="s">
        <v>17</v>
      </c>
      <c r="D203" t="s">
        <v>10</v>
      </c>
      <c r="E203">
        <v>8</v>
      </c>
      <c r="F203">
        <v>11617.69</v>
      </c>
      <c r="G203">
        <v>92941.52</v>
      </c>
    </row>
    <row r="204" spans="1:7" x14ac:dyDescent="0.3">
      <c r="A204">
        <v>1092</v>
      </c>
      <c r="B204" s="3">
        <v>46143</v>
      </c>
      <c r="C204" t="s">
        <v>13</v>
      </c>
      <c r="D204" t="s">
        <v>8</v>
      </c>
      <c r="E204">
        <v>4</v>
      </c>
      <c r="F204">
        <v>2658.29</v>
      </c>
      <c r="G204">
        <v>10633.16</v>
      </c>
    </row>
    <row r="205" spans="1:7" x14ac:dyDescent="0.3">
      <c r="A205">
        <v>1123</v>
      </c>
      <c r="B205" s="3">
        <v>46144</v>
      </c>
      <c r="C205" t="s">
        <v>17</v>
      </c>
      <c r="D205" t="s">
        <v>10</v>
      </c>
      <c r="E205">
        <v>5</v>
      </c>
      <c r="F205">
        <v>12604.26</v>
      </c>
      <c r="G205">
        <v>63021.3</v>
      </c>
    </row>
    <row r="206" spans="1:7" x14ac:dyDescent="0.3">
      <c r="A206">
        <v>1115</v>
      </c>
      <c r="B206" s="3">
        <v>46144</v>
      </c>
      <c r="C206" t="s">
        <v>11</v>
      </c>
      <c r="D206" t="s">
        <v>12</v>
      </c>
      <c r="E206">
        <v>8</v>
      </c>
      <c r="F206">
        <v>21623.54</v>
      </c>
      <c r="G206">
        <v>172988.32</v>
      </c>
    </row>
    <row r="207" spans="1:7" x14ac:dyDescent="0.3">
      <c r="A207">
        <v>1145</v>
      </c>
      <c r="B207" s="3">
        <v>46144</v>
      </c>
      <c r="C207" t="s">
        <v>11</v>
      </c>
      <c r="D207" t="s">
        <v>12</v>
      </c>
      <c r="E207">
        <v>4</v>
      </c>
      <c r="F207">
        <v>21846.15</v>
      </c>
      <c r="G207">
        <v>87384.6</v>
      </c>
    </row>
    <row r="208" spans="1:7" x14ac:dyDescent="0.3">
      <c r="A208">
        <v>1171</v>
      </c>
      <c r="B208" s="3">
        <v>46146</v>
      </c>
      <c r="C208" t="s">
        <v>7</v>
      </c>
      <c r="D208" t="s">
        <v>8</v>
      </c>
      <c r="E208">
        <v>5</v>
      </c>
      <c r="F208">
        <v>986.49</v>
      </c>
      <c r="G208">
        <v>4932.45</v>
      </c>
    </row>
    <row r="209" spans="1:7" x14ac:dyDescent="0.3">
      <c r="A209">
        <v>1241</v>
      </c>
      <c r="B209" s="3">
        <v>46146</v>
      </c>
      <c r="C209" t="s">
        <v>11</v>
      </c>
      <c r="D209" t="s">
        <v>12</v>
      </c>
      <c r="E209">
        <v>4</v>
      </c>
      <c r="F209">
        <v>21478</v>
      </c>
      <c r="G209">
        <v>85912</v>
      </c>
    </row>
    <row r="210" spans="1:7" x14ac:dyDescent="0.3">
      <c r="A210">
        <v>1228</v>
      </c>
      <c r="B210" s="3">
        <v>46147</v>
      </c>
      <c r="C210" t="s">
        <v>15</v>
      </c>
      <c r="D210" t="s">
        <v>12</v>
      </c>
      <c r="E210">
        <v>2</v>
      </c>
      <c r="F210">
        <v>52082.47</v>
      </c>
      <c r="G210">
        <v>104164.94</v>
      </c>
    </row>
    <row r="211" spans="1:7" x14ac:dyDescent="0.3">
      <c r="A211">
        <v>1175</v>
      </c>
      <c r="B211" s="3">
        <v>46148</v>
      </c>
      <c r="C211" t="s">
        <v>11</v>
      </c>
      <c r="D211" t="s">
        <v>12</v>
      </c>
      <c r="E211">
        <v>1</v>
      </c>
      <c r="F211">
        <v>22325.88</v>
      </c>
      <c r="G211">
        <v>22325.88</v>
      </c>
    </row>
    <row r="212" spans="1:7" x14ac:dyDescent="0.3">
      <c r="A212">
        <v>1163</v>
      </c>
      <c r="B212" s="3">
        <v>46148</v>
      </c>
      <c r="C212" t="s">
        <v>13</v>
      </c>
      <c r="D212" t="s">
        <v>8</v>
      </c>
      <c r="E212">
        <v>8</v>
      </c>
      <c r="F212">
        <v>2572.9499999999998</v>
      </c>
      <c r="G212">
        <v>20583.599999999999</v>
      </c>
    </row>
    <row r="213" spans="1:7" x14ac:dyDescent="0.3">
      <c r="A213">
        <v>1164</v>
      </c>
      <c r="B213" s="3">
        <v>46148</v>
      </c>
      <c r="C213" t="s">
        <v>17</v>
      </c>
      <c r="D213" t="s">
        <v>10</v>
      </c>
      <c r="E213">
        <v>1</v>
      </c>
      <c r="F213">
        <v>11023.33</v>
      </c>
      <c r="G213">
        <v>11023.33</v>
      </c>
    </row>
    <row r="214" spans="1:7" x14ac:dyDescent="0.3">
      <c r="A214">
        <v>1194</v>
      </c>
      <c r="B214" s="3">
        <v>46151</v>
      </c>
      <c r="C214" t="s">
        <v>17</v>
      </c>
      <c r="D214" t="s">
        <v>10</v>
      </c>
      <c r="E214">
        <v>8</v>
      </c>
      <c r="F214">
        <v>10993.06</v>
      </c>
      <c r="G214">
        <v>87944.48</v>
      </c>
    </row>
    <row r="215" spans="1:7" x14ac:dyDescent="0.3">
      <c r="A215">
        <v>1299</v>
      </c>
      <c r="B215" s="3">
        <v>46152</v>
      </c>
      <c r="C215" t="s">
        <v>13</v>
      </c>
      <c r="D215" t="s">
        <v>8</v>
      </c>
      <c r="E215">
        <v>3</v>
      </c>
      <c r="F215">
        <v>2578.37</v>
      </c>
      <c r="G215">
        <v>7735.11</v>
      </c>
    </row>
    <row r="216" spans="1:7" x14ac:dyDescent="0.3">
      <c r="A216">
        <v>1071</v>
      </c>
      <c r="B216" s="3">
        <v>46152</v>
      </c>
      <c r="C216" t="s">
        <v>7</v>
      </c>
      <c r="D216" t="s">
        <v>8</v>
      </c>
      <c r="E216">
        <v>3</v>
      </c>
      <c r="F216">
        <v>977.99</v>
      </c>
      <c r="G216">
        <v>2933.97</v>
      </c>
    </row>
    <row r="217" spans="1:7" x14ac:dyDescent="0.3">
      <c r="A217">
        <v>1122</v>
      </c>
      <c r="B217" s="3">
        <v>46152</v>
      </c>
      <c r="C217" t="s">
        <v>9</v>
      </c>
      <c r="D217" t="s">
        <v>10</v>
      </c>
      <c r="E217">
        <v>8</v>
      </c>
      <c r="F217">
        <v>9175.25</v>
      </c>
      <c r="G217">
        <v>73402</v>
      </c>
    </row>
    <row r="218" spans="1:7" x14ac:dyDescent="0.3">
      <c r="A218">
        <v>1280</v>
      </c>
      <c r="B218" s="3">
        <v>46154</v>
      </c>
      <c r="C218" t="s">
        <v>11</v>
      </c>
      <c r="D218" t="s">
        <v>12</v>
      </c>
      <c r="E218">
        <v>8</v>
      </c>
      <c r="F218">
        <v>22016.89</v>
      </c>
      <c r="G218">
        <v>176135.12</v>
      </c>
    </row>
    <row r="219" spans="1:7" x14ac:dyDescent="0.3">
      <c r="A219">
        <v>1155</v>
      </c>
      <c r="B219" s="3">
        <v>46156</v>
      </c>
      <c r="C219" t="s">
        <v>7</v>
      </c>
      <c r="D219" t="s">
        <v>8</v>
      </c>
      <c r="E219">
        <v>8</v>
      </c>
      <c r="F219">
        <v>893.68</v>
      </c>
      <c r="G219">
        <v>7149.44</v>
      </c>
    </row>
    <row r="220" spans="1:7" x14ac:dyDescent="0.3">
      <c r="A220">
        <v>1062</v>
      </c>
      <c r="B220" s="3">
        <v>46158</v>
      </c>
      <c r="C220" t="s">
        <v>14</v>
      </c>
      <c r="D220" t="s">
        <v>12</v>
      </c>
      <c r="E220">
        <v>1</v>
      </c>
      <c r="F220">
        <v>19658.8</v>
      </c>
      <c r="G220">
        <v>19658.8</v>
      </c>
    </row>
    <row r="221" spans="1:7" x14ac:dyDescent="0.3">
      <c r="A221">
        <v>1287</v>
      </c>
      <c r="B221" s="3">
        <v>46158</v>
      </c>
      <c r="C221" t="s">
        <v>7</v>
      </c>
      <c r="D221" t="s">
        <v>8</v>
      </c>
      <c r="E221">
        <v>8</v>
      </c>
      <c r="F221">
        <v>901</v>
      </c>
      <c r="G221">
        <v>7208</v>
      </c>
    </row>
    <row r="222" spans="1:7" x14ac:dyDescent="0.3">
      <c r="A222">
        <v>1097</v>
      </c>
      <c r="B222" s="3">
        <v>46160</v>
      </c>
      <c r="C222" t="s">
        <v>16</v>
      </c>
      <c r="D222" t="s">
        <v>8</v>
      </c>
      <c r="E222">
        <v>1</v>
      </c>
      <c r="F222">
        <v>1384.6</v>
      </c>
      <c r="G222">
        <v>1384.6</v>
      </c>
    </row>
    <row r="223" spans="1:7" x14ac:dyDescent="0.3">
      <c r="A223">
        <v>1170</v>
      </c>
      <c r="B223" s="3">
        <v>46160</v>
      </c>
      <c r="C223" t="s">
        <v>14</v>
      </c>
      <c r="D223" t="s">
        <v>12</v>
      </c>
      <c r="E223">
        <v>4</v>
      </c>
      <c r="F223">
        <v>16978.98</v>
      </c>
      <c r="G223">
        <v>67915.92</v>
      </c>
    </row>
    <row r="224" spans="1:7" x14ac:dyDescent="0.3">
      <c r="A224">
        <v>1262</v>
      </c>
      <c r="B224" s="3">
        <v>46160</v>
      </c>
      <c r="C224" t="s">
        <v>14</v>
      </c>
      <c r="D224" t="s">
        <v>12</v>
      </c>
      <c r="E224">
        <v>7</v>
      </c>
      <c r="F224">
        <v>17833.12</v>
      </c>
      <c r="G224">
        <v>124831.84</v>
      </c>
    </row>
    <row r="225" spans="1:7" x14ac:dyDescent="0.3">
      <c r="A225">
        <v>1051</v>
      </c>
      <c r="B225" s="3">
        <v>46160</v>
      </c>
      <c r="C225" t="s">
        <v>17</v>
      </c>
      <c r="D225" t="s">
        <v>10</v>
      </c>
      <c r="E225">
        <v>3</v>
      </c>
      <c r="F225">
        <v>11812.52</v>
      </c>
      <c r="G225">
        <v>35437.56</v>
      </c>
    </row>
    <row r="226" spans="1:7" x14ac:dyDescent="0.3">
      <c r="A226">
        <v>1054</v>
      </c>
      <c r="B226" s="3">
        <v>46161</v>
      </c>
      <c r="C226" t="s">
        <v>15</v>
      </c>
      <c r="D226" t="s">
        <v>12</v>
      </c>
      <c r="E226">
        <v>2</v>
      </c>
      <c r="F226">
        <v>59690.04</v>
      </c>
      <c r="G226">
        <v>119380.08</v>
      </c>
    </row>
    <row r="227" spans="1:7" x14ac:dyDescent="0.3">
      <c r="A227">
        <v>1127</v>
      </c>
      <c r="B227" s="3">
        <v>46161</v>
      </c>
      <c r="C227" t="s">
        <v>11</v>
      </c>
      <c r="D227" t="s">
        <v>12</v>
      </c>
      <c r="E227">
        <v>3</v>
      </c>
      <c r="F227">
        <v>20463.650000000001</v>
      </c>
      <c r="G227">
        <v>61390.95</v>
      </c>
    </row>
    <row r="228" spans="1:7" x14ac:dyDescent="0.3">
      <c r="A228">
        <v>1142</v>
      </c>
      <c r="B228" s="3">
        <v>46161</v>
      </c>
      <c r="C228" t="s">
        <v>15</v>
      </c>
      <c r="D228" t="s">
        <v>12</v>
      </c>
      <c r="E228">
        <v>6</v>
      </c>
      <c r="F228">
        <v>51966.44</v>
      </c>
      <c r="G228">
        <v>311798.64</v>
      </c>
    </row>
    <row r="229" spans="1:7" x14ac:dyDescent="0.3">
      <c r="A229">
        <v>1190</v>
      </c>
      <c r="B229" s="3">
        <v>46162</v>
      </c>
      <c r="C229" t="s">
        <v>13</v>
      </c>
      <c r="D229" t="s">
        <v>8</v>
      </c>
      <c r="E229">
        <v>3</v>
      </c>
      <c r="F229">
        <v>2704.21</v>
      </c>
      <c r="G229">
        <v>8112.63</v>
      </c>
    </row>
    <row r="230" spans="1:7" x14ac:dyDescent="0.3">
      <c r="A230">
        <v>1219</v>
      </c>
      <c r="B230" s="3">
        <v>46162</v>
      </c>
      <c r="C230" t="s">
        <v>9</v>
      </c>
      <c r="D230" t="s">
        <v>10</v>
      </c>
      <c r="E230">
        <v>8</v>
      </c>
      <c r="F230">
        <v>9235.85</v>
      </c>
      <c r="G230">
        <v>73886.8</v>
      </c>
    </row>
    <row r="231" spans="1:7" x14ac:dyDescent="0.3">
      <c r="A231">
        <v>1037</v>
      </c>
      <c r="B231" s="3">
        <v>46163</v>
      </c>
      <c r="C231" t="s">
        <v>14</v>
      </c>
      <c r="D231" t="s">
        <v>12</v>
      </c>
      <c r="E231">
        <v>5</v>
      </c>
      <c r="F231">
        <v>18099.63</v>
      </c>
      <c r="G231">
        <v>90498.15</v>
      </c>
    </row>
    <row r="232" spans="1:7" x14ac:dyDescent="0.3">
      <c r="A232">
        <v>1082</v>
      </c>
      <c r="B232" s="3">
        <v>46164</v>
      </c>
      <c r="C232" t="s">
        <v>9</v>
      </c>
      <c r="D232" t="s">
        <v>10</v>
      </c>
      <c r="E232">
        <v>1</v>
      </c>
      <c r="F232">
        <v>7840.19</v>
      </c>
      <c r="G232">
        <v>7840.19</v>
      </c>
    </row>
    <row r="233" spans="1:7" x14ac:dyDescent="0.3">
      <c r="A233">
        <v>1272</v>
      </c>
      <c r="B233" s="3">
        <v>46164</v>
      </c>
      <c r="C233" t="s">
        <v>13</v>
      </c>
      <c r="D233" t="s">
        <v>8</v>
      </c>
      <c r="E233">
        <v>4</v>
      </c>
      <c r="F233">
        <v>2656.53</v>
      </c>
      <c r="G233">
        <v>10626.12</v>
      </c>
    </row>
    <row r="234" spans="1:7" x14ac:dyDescent="0.3">
      <c r="A234">
        <v>1076</v>
      </c>
      <c r="B234" s="3">
        <v>46164</v>
      </c>
      <c r="C234" t="s">
        <v>14</v>
      </c>
      <c r="D234" t="s">
        <v>12</v>
      </c>
      <c r="E234">
        <v>5</v>
      </c>
      <c r="F234">
        <v>17214.32</v>
      </c>
      <c r="G234">
        <v>86071.6</v>
      </c>
    </row>
    <row r="235" spans="1:7" x14ac:dyDescent="0.3">
      <c r="A235">
        <v>1074</v>
      </c>
      <c r="B235" s="3">
        <v>46164</v>
      </c>
      <c r="C235" t="s">
        <v>7</v>
      </c>
      <c r="D235" t="s">
        <v>8</v>
      </c>
      <c r="E235">
        <v>2</v>
      </c>
      <c r="F235">
        <v>979.01</v>
      </c>
      <c r="G235">
        <v>1958.02</v>
      </c>
    </row>
    <row r="236" spans="1:7" x14ac:dyDescent="0.3">
      <c r="A236">
        <v>1186</v>
      </c>
      <c r="B236" s="3">
        <v>46164</v>
      </c>
      <c r="C236" t="s">
        <v>11</v>
      </c>
      <c r="D236" t="s">
        <v>12</v>
      </c>
      <c r="E236">
        <v>3</v>
      </c>
      <c r="F236">
        <v>19811.77</v>
      </c>
      <c r="G236">
        <v>59435.31</v>
      </c>
    </row>
    <row r="237" spans="1:7" x14ac:dyDescent="0.3">
      <c r="A237">
        <v>1059</v>
      </c>
      <c r="B237" s="3">
        <v>46165</v>
      </c>
      <c r="C237" t="s">
        <v>17</v>
      </c>
      <c r="D237" t="s">
        <v>10</v>
      </c>
      <c r="E237">
        <v>3</v>
      </c>
      <c r="F237">
        <v>11255.75</v>
      </c>
      <c r="G237">
        <v>33767.25</v>
      </c>
    </row>
    <row r="238" spans="1:7" x14ac:dyDescent="0.3">
      <c r="A238">
        <v>1254</v>
      </c>
      <c r="B238" s="3">
        <v>46165</v>
      </c>
      <c r="C238" t="s">
        <v>16</v>
      </c>
      <c r="D238" t="s">
        <v>8</v>
      </c>
      <c r="E238">
        <v>2</v>
      </c>
      <c r="F238">
        <v>1587.2</v>
      </c>
      <c r="G238">
        <v>3174.4</v>
      </c>
    </row>
    <row r="239" spans="1:7" x14ac:dyDescent="0.3">
      <c r="A239">
        <v>1296</v>
      </c>
      <c r="B239" s="3">
        <v>46166</v>
      </c>
      <c r="C239" t="s">
        <v>16</v>
      </c>
      <c r="D239" t="s">
        <v>8</v>
      </c>
      <c r="E239">
        <v>2</v>
      </c>
      <c r="F239">
        <v>1473.24</v>
      </c>
      <c r="G239">
        <v>2946.48</v>
      </c>
    </row>
    <row r="240" spans="1:7" x14ac:dyDescent="0.3">
      <c r="A240">
        <v>1087</v>
      </c>
      <c r="B240" s="3">
        <v>46166</v>
      </c>
      <c r="C240" t="s">
        <v>9</v>
      </c>
      <c r="D240" t="s">
        <v>10</v>
      </c>
      <c r="E240">
        <v>3</v>
      </c>
      <c r="F240">
        <v>9223.7999999999993</v>
      </c>
      <c r="G240">
        <v>27671.4</v>
      </c>
    </row>
    <row r="241" spans="1:7" x14ac:dyDescent="0.3">
      <c r="A241">
        <v>1070</v>
      </c>
      <c r="B241" s="3">
        <v>46167</v>
      </c>
      <c r="C241" t="s">
        <v>11</v>
      </c>
      <c r="D241" t="s">
        <v>12</v>
      </c>
      <c r="E241">
        <v>2</v>
      </c>
      <c r="F241">
        <v>22165.59</v>
      </c>
      <c r="G241">
        <v>44331.18</v>
      </c>
    </row>
    <row r="242" spans="1:7" x14ac:dyDescent="0.3">
      <c r="A242">
        <v>1180</v>
      </c>
      <c r="B242" s="3">
        <v>46167</v>
      </c>
      <c r="C242" t="s">
        <v>7</v>
      </c>
      <c r="D242" t="s">
        <v>8</v>
      </c>
      <c r="E242">
        <v>2</v>
      </c>
      <c r="F242">
        <v>988.91</v>
      </c>
      <c r="G242">
        <v>1977.82</v>
      </c>
    </row>
    <row r="243" spans="1:7" x14ac:dyDescent="0.3">
      <c r="A243">
        <v>1021</v>
      </c>
      <c r="B243" s="3">
        <v>46168</v>
      </c>
      <c r="C243" t="s">
        <v>16</v>
      </c>
      <c r="D243" t="s">
        <v>8</v>
      </c>
      <c r="E243">
        <v>4</v>
      </c>
      <c r="F243">
        <v>1546.63</v>
      </c>
      <c r="G243">
        <v>6186.52</v>
      </c>
    </row>
    <row r="244" spans="1:7" x14ac:dyDescent="0.3">
      <c r="A244">
        <v>1065</v>
      </c>
      <c r="B244" s="3">
        <v>46168</v>
      </c>
      <c r="C244" t="s">
        <v>13</v>
      </c>
      <c r="D244" t="s">
        <v>8</v>
      </c>
      <c r="E244">
        <v>1</v>
      </c>
      <c r="F244">
        <v>2559.69</v>
      </c>
      <c r="G244">
        <v>2559.69</v>
      </c>
    </row>
    <row r="245" spans="1:7" x14ac:dyDescent="0.3">
      <c r="A245">
        <v>1046</v>
      </c>
      <c r="B245" s="3">
        <v>46169</v>
      </c>
      <c r="C245" t="s">
        <v>17</v>
      </c>
      <c r="D245" t="s">
        <v>10</v>
      </c>
      <c r="E245">
        <v>4</v>
      </c>
      <c r="F245">
        <v>12683.09</v>
      </c>
      <c r="G245">
        <v>50732.36</v>
      </c>
    </row>
    <row r="246" spans="1:7" x14ac:dyDescent="0.3">
      <c r="A246">
        <v>1197</v>
      </c>
      <c r="B246" s="3">
        <v>46170</v>
      </c>
      <c r="C246" t="s">
        <v>15</v>
      </c>
      <c r="D246" t="s">
        <v>12</v>
      </c>
      <c r="E246">
        <v>5</v>
      </c>
      <c r="F246">
        <v>55838.720000000001</v>
      </c>
      <c r="G246">
        <v>279193.59999999998</v>
      </c>
    </row>
    <row r="247" spans="1:7" x14ac:dyDescent="0.3">
      <c r="A247">
        <v>1101</v>
      </c>
      <c r="B247" s="3">
        <v>46170</v>
      </c>
      <c r="C247" t="s">
        <v>13</v>
      </c>
      <c r="D247" t="s">
        <v>8</v>
      </c>
      <c r="E247">
        <v>5</v>
      </c>
      <c r="F247">
        <v>2272.19</v>
      </c>
      <c r="G247">
        <v>11360.95</v>
      </c>
    </row>
    <row r="248" spans="1:7" x14ac:dyDescent="0.3">
      <c r="A248">
        <v>1109</v>
      </c>
      <c r="B248" s="3">
        <v>46171</v>
      </c>
      <c r="C248" t="s">
        <v>16</v>
      </c>
      <c r="D248" t="s">
        <v>8</v>
      </c>
      <c r="E248">
        <v>8</v>
      </c>
      <c r="F248">
        <v>1482.54</v>
      </c>
      <c r="G248">
        <v>11860.32</v>
      </c>
    </row>
    <row r="249" spans="1:7" x14ac:dyDescent="0.3">
      <c r="A249">
        <v>1166</v>
      </c>
      <c r="B249" s="3">
        <v>46171</v>
      </c>
      <c r="C249" t="s">
        <v>16</v>
      </c>
      <c r="D249" t="s">
        <v>8</v>
      </c>
      <c r="E249">
        <v>8</v>
      </c>
      <c r="F249">
        <v>1516.04</v>
      </c>
      <c r="G249">
        <v>12128.32</v>
      </c>
    </row>
    <row r="250" spans="1:7" x14ac:dyDescent="0.3">
      <c r="A250">
        <v>1084</v>
      </c>
      <c r="B250" s="3">
        <v>46172</v>
      </c>
      <c r="C250" t="s">
        <v>14</v>
      </c>
      <c r="D250" t="s">
        <v>12</v>
      </c>
      <c r="E250">
        <v>7</v>
      </c>
      <c r="F250">
        <v>16658.8</v>
      </c>
      <c r="G250">
        <v>116611.6</v>
      </c>
    </row>
    <row r="251" spans="1:7" x14ac:dyDescent="0.3">
      <c r="A251">
        <v>1131</v>
      </c>
      <c r="B251" s="3">
        <v>46172</v>
      </c>
      <c r="C251" t="s">
        <v>15</v>
      </c>
      <c r="D251" t="s">
        <v>12</v>
      </c>
      <c r="E251">
        <v>7</v>
      </c>
      <c r="F251">
        <v>54746.78</v>
      </c>
      <c r="G251">
        <v>383227.46</v>
      </c>
    </row>
    <row r="252" spans="1:7" x14ac:dyDescent="0.3">
      <c r="A252">
        <v>1006</v>
      </c>
      <c r="B252" s="3">
        <v>46173</v>
      </c>
      <c r="C252" t="s">
        <v>7</v>
      </c>
      <c r="D252" t="s">
        <v>8</v>
      </c>
      <c r="E252">
        <v>1</v>
      </c>
      <c r="F252">
        <v>946.59</v>
      </c>
      <c r="G252">
        <v>946.59</v>
      </c>
    </row>
    <row r="253" spans="1:7" x14ac:dyDescent="0.3">
      <c r="A253">
        <v>1183</v>
      </c>
      <c r="B253" s="3">
        <v>46173</v>
      </c>
      <c r="C253" t="s">
        <v>9</v>
      </c>
      <c r="D253" t="s">
        <v>10</v>
      </c>
      <c r="E253">
        <v>5</v>
      </c>
      <c r="F253">
        <v>8616.67</v>
      </c>
      <c r="G253">
        <v>43083.35</v>
      </c>
    </row>
    <row r="254" spans="1:7" x14ac:dyDescent="0.3">
      <c r="A254">
        <v>1156</v>
      </c>
      <c r="B254" s="3">
        <v>46174</v>
      </c>
      <c r="C254" t="s">
        <v>7</v>
      </c>
      <c r="D254" t="s">
        <v>8</v>
      </c>
      <c r="E254">
        <v>6</v>
      </c>
      <c r="F254">
        <v>963.31</v>
      </c>
      <c r="G254">
        <v>5779.86</v>
      </c>
    </row>
    <row r="255" spans="1:7" x14ac:dyDescent="0.3">
      <c r="A255">
        <v>1099</v>
      </c>
      <c r="B255" s="3">
        <v>46175</v>
      </c>
      <c r="C255" t="s">
        <v>9</v>
      </c>
      <c r="D255" t="s">
        <v>10</v>
      </c>
      <c r="E255">
        <v>6</v>
      </c>
      <c r="F255">
        <v>8888.5300000000007</v>
      </c>
      <c r="G255">
        <v>53331.18</v>
      </c>
    </row>
    <row r="256" spans="1:7" x14ac:dyDescent="0.3">
      <c r="A256">
        <v>1270</v>
      </c>
      <c r="B256" s="3">
        <v>46175</v>
      </c>
      <c r="C256" t="s">
        <v>15</v>
      </c>
      <c r="D256" t="s">
        <v>12</v>
      </c>
      <c r="E256">
        <v>1</v>
      </c>
      <c r="F256">
        <v>58154.74</v>
      </c>
      <c r="G256">
        <v>58154.74</v>
      </c>
    </row>
    <row r="257" spans="1:7" x14ac:dyDescent="0.3">
      <c r="A257">
        <v>1274</v>
      </c>
      <c r="B257" s="3">
        <v>46175</v>
      </c>
      <c r="C257" t="s">
        <v>15</v>
      </c>
      <c r="D257" t="s">
        <v>12</v>
      </c>
      <c r="E257">
        <v>5</v>
      </c>
      <c r="F257">
        <v>58942.47</v>
      </c>
      <c r="G257">
        <v>294712.34999999998</v>
      </c>
    </row>
    <row r="258" spans="1:7" x14ac:dyDescent="0.3">
      <c r="A258">
        <v>1215</v>
      </c>
      <c r="B258" s="3">
        <v>46176</v>
      </c>
      <c r="C258" t="s">
        <v>14</v>
      </c>
      <c r="D258" t="s">
        <v>12</v>
      </c>
      <c r="E258">
        <v>2</v>
      </c>
      <c r="F258">
        <v>17194.490000000002</v>
      </c>
      <c r="G258">
        <v>34388.980000000003</v>
      </c>
    </row>
    <row r="259" spans="1:7" x14ac:dyDescent="0.3">
      <c r="A259">
        <v>1298</v>
      </c>
      <c r="B259" s="3">
        <v>46176</v>
      </c>
      <c r="C259" t="s">
        <v>7</v>
      </c>
      <c r="D259" t="s">
        <v>8</v>
      </c>
      <c r="E259">
        <v>6</v>
      </c>
      <c r="F259">
        <v>828.65</v>
      </c>
      <c r="G259">
        <v>4971.8999999999996</v>
      </c>
    </row>
    <row r="260" spans="1:7" x14ac:dyDescent="0.3">
      <c r="A260">
        <v>1038</v>
      </c>
      <c r="B260" s="3">
        <v>46178</v>
      </c>
      <c r="C260" t="s">
        <v>9</v>
      </c>
      <c r="D260" t="s">
        <v>10</v>
      </c>
      <c r="E260">
        <v>4</v>
      </c>
      <c r="F260">
        <v>9229.15</v>
      </c>
      <c r="G260">
        <v>36916.6</v>
      </c>
    </row>
    <row r="261" spans="1:7" x14ac:dyDescent="0.3">
      <c r="A261">
        <v>1281</v>
      </c>
      <c r="B261" s="3">
        <v>46180</v>
      </c>
      <c r="C261" t="s">
        <v>15</v>
      </c>
      <c r="D261" t="s">
        <v>12</v>
      </c>
      <c r="E261">
        <v>5</v>
      </c>
      <c r="F261">
        <v>54538.47</v>
      </c>
      <c r="G261">
        <v>272692.34999999998</v>
      </c>
    </row>
    <row r="262" spans="1:7" x14ac:dyDescent="0.3">
      <c r="A262">
        <v>1258</v>
      </c>
      <c r="B262" s="3">
        <v>46181</v>
      </c>
      <c r="C262" t="s">
        <v>16</v>
      </c>
      <c r="D262" t="s">
        <v>8</v>
      </c>
      <c r="E262">
        <v>4</v>
      </c>
      <c r="F262">
        <v>1544.3</v>
      </c>
      <c r="G262">
        <v>6177.2</v>
      </c>
    </row>
    <row r="263" spans="1:7" x14ac:dyDescent="0.3">
      <c r="A263">
        <v>1012</v>
      </c>
      <c r="B263" s="3">
        <v>46181</v>
      </c>
      <c r="C263" t="s">
        <v>16</v>
      </c>
      <c r="D263" t="s">
        <v>8</v>
      </c>
      <c r="E263">
        <v>4</v>
      </c>
      <c r="F263">
        <v>1561.37</v>
      </c>
      <c r="G263">
        <v>6245.48</v>
      </c>
    </row>
    <row r="264" spans="1:7" x14ac:dyDescent="0.3">
      <c r="A264">
        <v>1247</v>
      </c>
      <c r="B264" s="3">
        <v>46183</v>
      </c>
      <c r="C264" t="s">
        <v>15</v>
      </c>
      <c r="D264" t="s">
        <v>12</v>
      </c>
      <c r="E264">
        <v>5</v>
      </c>
      <c r="F264">
        <v>58174.720000000001</v>
      </c>
      <c r="G264">
        <v>290873.59999999998</v>
      </c>
    </row>
    <row r="265" spans="1:7" x14ac:dyDescent="0.3">
      <c r="A265">
        <v>1116</v>
      </c>
      <c r="B265" s="3">
        <v>46184</v>
      </c>
      <c r="C265" t="s">
        <v>13</v>
      </c>
      <c r="D265" t="s">
        <v>8</v>
      </c>
      <c r="E265">
        <v>7</v>
      </c>
      <c r="F265">
        <v>2497.19</v>
      </c>
      <c r="G265">
        <v>17480.330000000002</v>
      </c>
    </row>
    <row r="266" spans="1:7" x14ac:dyDescent="0.3">
      <c r="A266">
        <v>1179</v>
      </c>
      <c r="B266" s="3">
        <v>46184</v>
      </c>
      <c r="C266" t="s">
        <v>15</v>
      </c>
      <c r="D266" t="s">
        <v>12</v>
      </c>
      <c r="E266">
        <v>3</v>
      </c>
      <c r="F266">
        <v>51141.17</v>
      </c>
      <c r="G266">
        <v>153423.51</v>
      </c>
    </row>
    <row r="267" spans="1:7" x14ac:dyDescent="0.3">
      <c r="A267">
        <v>1209</v>
      </c>
      <c r="B267" s="3">
        <v>46184</v>
      </c>
      <c r="C267" t="s">
        <v>13</v>
      </c>
      <c r="D267" t="s">
        <v>8</v>
      </c>
      <c r="E267">
        <v>3</v>
      </c>
      <c r="F267">
        <v>2405.38</v>
      </c>
      <c r="G267">
        <v>7216.14</v>
      </c>
    </row>
    <row r="268" spans="1:7" x14ac:dyDescent="0.3">
      <c r="A268">
        <v>1015</v>
      </c>
      <c r="B268" s="3">
        <v>46185</v>
      </c>
      <c r="C268" t="s">
        <v>16</v>
      </c>
      <c r="D268" t="s">
        <v>8</v>
      </c>
      <c r="E268">
        <v>3</v>
      </c>
      <c r="F268">
        <v>1461.05</v>
      </c>
      <c r="G268">
        <v>4383.1499999999996</v>
      </c>
    </row>
    <row r="269" spans="1:7" x14ac:dyDescent="0.3">
      <c r="A269">
        <v>1259</v>
      </c>
      <c r="B269" s="3">
        <v>46185</v>
      </c>
      <c r="C269" t="s">
        <v>17</v>
      </c>
      <c r="D269" t="s">
        <v>10</v>
      </c>
      <c r="E269">
        <v>5</v>
      </c>
      <c r="F269">
        <v>12358.17</v>
      </c>
      <c r="G269">
        <v>61790.85</v>
      </c>
    </row>
    <row r="270" spans="1:7" x14ac:dyDescent="0.3">
      <c r="A270">
        <v>1286</v>
      </c>
      <c r="B270" s="3">
        <v>46185</v>
      </c>
      <c r="C270" t="s">
        <v>16</v>
      </c>
      <c r="D270" t="s">
        <v>8</v>
      </c>
      <c r="E270">
        <v>7</v>
      </c>
      <c r="F270">
        <v>1648.39</v>
      </c>
      <c r="G270">
        <v>11538.73</v>
      </c>
    </row>
    <row r="271" spans="1:7" x14ac:dyDescent="0.3">
      <c r="A271">
        <v>1112</v>
      </c>
      <c r="B271" s="3">
        <v>46185</v>
      </c>
      <c r="C271" t="s">
        <v>16</v>
      </c>
      <c r="D271" t="s">
        <v>8</v>
      </c>
      <c r="E271">
        <v>2</v>
      </c>
      <c r="F271">
        <v>1595.53</v>
      </c>
      <c r="G271">
        <v>3191.06</v>
      </c>
    </row>
    <row r="272" spans="1:7" x14ac:dyDescent="0.3">
      <c r="A272">
        <v>1081</v>
      </c>
      <c r="B272" s="3">
        <v>46186</v>
      </c>
      <c r="C272" t="s">
        <v>7</v>
      </c>
      <c r="D272" t="s">
        <v>8</v>
      </c>
      <c r="E272">
        <v>3</v>
      </c>
      <c r="F272">
        <v>943.42</v>
      </c>
      <c r="G272">
        <v>2830.26</v>
      </c>
    </row>
    <row r="273" spans="1:7" x14ac:dyDescent="0.3">
      <c r="A273">
        <v>1124</v>
      </c>
      <c r="B273" s="3">
        <v>46186</v>
      </c>
      <c r="C273" t="s">
        <v>7</v>
      </c>
      <c r="D273" t="s">
        <v>8</v>
      </c>
      <c r="E273">
        <v>8</v>
      </c>
      <c r="F273">
        <v>922.81</v>
      </c>
      <c r="G273">
        <v>7382.48</v>
      </c>
    </row>
    <row r="274" spans="1:7" x14ac:dyDescent="0.3">
      <c r="A274">
        <v>1001</v>
      </c>
      <c r="B274" s="3">
        <v>46186</v>
      </c>
      <c r="C274" t="s">
        <v>11</v>
      </c>
      <c r="D274" t="s">
        <v>12</v>
      </c>
      <c r="E274">
        <v>1</v>
      </c>
      <c r="F274">
        <v>23062.82</v>
      </c>
      <c r="G274">
        <v>23062.82</v>
      </c>
    </row>
    <row r="275" spans="1:7" x14ac:dyDescent="0.3">
      <c r="A275">
        <v>1289</v>
      </c>
      <c r="B275" s="3">
        <v>46189</v>
      </c>
      <c r="C275" t="s">
        <v>13</v>
      </c>
      <c r="D275" t="s">
        <v>8</v>
      </c>
      <c r="E275">
        <v>7</v>
      </c>
      <c r="F275">
        <v>2475.7800000000002</v>
      </c>
      <c r="G275">
        <v>17330.46</v>
      </c>
    </row>
    <row r="276" spans="1:7" x14ac:dyDescent="0.3">
      <c r="A276">
        <v>1264</v>
      </c>
      <c r="B276" s="3">
        <v>46190</v>
      </c>
      <c r="C276" t="s">
        <v>11</v>
      </c>
      <c r="D276" t="s">
        <v>12</v>
      </c>
      <c r="E276">
        <v>8</v>
      </c>
      <c r="F276">
        <v>22508.87</v>
      </c>
      <c r="G276">
        <v>180070.96</v>
      </c>
    </row>
    <row r="277" spans="1:7" x14ac:dyDescent="0.3">
      <c r="A277">
        <v>1243</v>
      </c>
      <c r="B277" s="3">
        <v>46191</v>
      </c>
      <c r="C277" t="s">
        <v>9</v>
      </c>
      <c r="D277" t="s">
        <v>10</v>
      </c>
      <c r="E277">
        <v>5</v>
      </c>
      <c r="F277">
        <v>7663.77</v>
      </c>
      <c r="G277">
        <v>38318.85</v>
      </c>
    </row>
    <row r="278" spans="1:7" x14ac:dyDescent="0.3">
      <c r="A278">
        <v>1137</v>
      </c>
      <c r="B278" s="3">
        <v>46192</v>
      </c>
      <c r="C278" t="s">
        <v>15</v>
      </c>
      <c r="D278" t="s">
        <v>12</v>
      </c>
      <c r="E278">
        <v>2</v>
      </c>
      <c r="F278">
        <v>56570.25</v>
      </c>
      <c r="G278">
        <v>113140.5</v>
      </c>
    </row>
    <row r="279" spans="1:7" x14ac:dyDescent="0.3">
      <c r="A279">
        <v>1297</v>
      </c>
      <c r="B279" s="3">
        <v>46193</v>
      </c>
      <c r="C279" t="s">
        <v>9</v>
      </c>
      <c r="D279" t="s">
        <v>10</v>
      </c>
      <c r="E279">
        <v>1</v>
      </c>
      <c r="F279">
        <v>9296.2800000000007</v>
      </c>
      <c r="G279">
        <v>9296.2800000000007</v>
      </c>
    </row>
    <row r="280" spans="1:7" x14ac:dyDescent="0.3">
      <c r="A280">
        <v>1121</v>
      </c>
      <c r="B280" s="3">
        <v>46193</v>
      </c>
      <c r="C280" t="s">
        <v>16</v>
      </c>
      <c r="D280" t="s">
        <v>8</v>
      </c>
      <c r="E280">
        <v>8</v>
      </c>
      <c r="F280">
        <v>1533.8</v>
      </c>
      <c r="G280">
        <v>12270.4</v>
      </c>
    </row>
    <row r="281" spans="1:7" x14ac:dyDescent="0.3">
      <c r="A281">
        <v>1135</v>
      </c>
      <c r="B281" s="3">
        <v>46194</v>
      </c>
      <c r="C281" t="s">
        <v>9</v>
      </c>
      <c r="D281" t="s">
        <v>10</v>
      </c>
      <c r="E281">
        <v>3</v>
      </c>
      <c r="F281">
        <v>9078.86</v>
      </c>
      <c r="G281">
        <v>27236.58</v>
      </c>
    </row>
    <row r="282" spans="1:7" x14ac:dyDescent="0.3">
      <c r="A282">
        <v>1263</v>
      </c>
      <c r="B282" s="3">
        <v>46194</v>
      </c>
      <c r="C282" t="s">
        <v>9</v>
      </c>
      <c r="D282" t="s">
        <v>10</v>
      </c>
      <c r="E282">
        <v>3</v>
      </c>
      <c r="F282">
        <v>9155.2000000000007</v>
      </c>
      <c r="G282">
        <v>27465.599999999999</v>
      </c>
    </row>
    <row r="283" spans="1:7" x14ac:dyDescent="0.3">
      <c r="A283">
        <v>1201</v>
      </c>
      <c r="B283" s="3">
        <v>46194</v>
      </c>
      <c r="C283" t="s">
        <v>11</v>
      </c>
      <c r="D283" t="s">
        <v>12</v>
      </c>
      <c r="E283">
        <v>3</v>
      </c>
      <c r="F283">
        <v>21251.14</v>
      </c>
      <c r="G283">
        <v>63753.42</v>
      </c>
    </row>
    <row r="284" spans="1:7" x14ac:dyDescent="0.3">
      <c r="A284">
        <v>1040</v>
      </c>
      <c r="B284" s="3">
        <v>46194</v>
      </c>
      <c r="C284" t="s">
        <v>16</v>
      </c>
      <c r="D284" t="s">
        <v>8</v>
      </c>
      <c r="E284">
        <v>8</v>
      </c>
      <c r="F284">
        <v>1619.88</v>
      </c>
      <c r="G284">
        <v>12959.04</v>
      </c>
    </row>
    <row r="285" spans="1:7" x14ac:dyDescent="0.3">
      <c r="A285">
        <v>1068</v>
      </c>
      <c r="B285" s="3">
        <v>46194</v>
      </c>
      <c r="C285" t="s">
        <v>7</v>
      </c>
      <c r="D285" t="s">
        <v>8</v>
      </c>
      <c r="E285">
        <v>8</v>
      </c>
      <c r="F285">
        <v>866.91</v>
      </c>
      <c r="G285">
        <v>6935.28</v>
      </c>
    </row>
    <row r="286" spans="1:7" x14ac:dyDescent="0.3">
      <c r="A286">
        <v>1064</v>
      </c>
      <c r="B286" s="3">
        <v>46195</v>
      </c>
      <c r="C286" t="s">
        <v>13</v>
      </c>
      <c r="D286" t="s">
        <v>8</v>
      </c>
      <c r="E286">
        <v>7</v>
      </c>
      <c r="F286">
        <v>2309.94</v>
      </c>
      <c r="G286">
        <v>16169.58</v>
      </c>
    </row>
    <row r="287" spans="1:7" x14ac:dyDescent="0.3">
      <c r="A287">
        <v>1110</v>
      </c>
      <c r="B287" s="3">
        <v>46195</v>
      </c>
      <c r="C287" t="s">
        <v>13</v>
      </c>
      <c r="D287" t="s">
        <v>8</v>
      </c>
      <c r="E287">
        <v>8</v>
      </c>
      <c r="F287">
        <v>2646.87</v>
      </c>
      <c r="G287">
        <v>21174.959999999999</v>
      </c>
    </row>
    <row r="288" spans="1:7" x14ac:dyDescent="0.3">
      <c r="A288">
        <v>1256</v>
      </c>
      <c r="B288" s="3">
        <v>46195</v>
      </c>
      <c r="C288" t="s">
        <v>7</v>
      </c>
      <c r="D288" t="s">
        <v>8</v>
      </c>
      <c r="E288">
        <v>7</v>
      </c>
      <c r="F288">
        <v>958.04</v>
      </c>
      <c r="G288">
        <v>6706.28</v>
      </c>
    </row>
    <row r="289" spans="1:7" x14ac:dyDescent="0.3">
      <c r="A289">
        <v>1003</v>
      </c>
      <c r="B289" s="3">
        <v>46196</v>
      </c>
      <c r="C289" t="s">
        <v>11</v>
      </c>
      <c r="D289" t="s">
        <v>12</v>
      </c>
      <c r="E289">
        <v>7</v>
      </c>
      <c r="F289">
        <v>19939.84</v>
      </c>
      <c r="G289">
        <v>139578.88</v>
      </c>
    </row>
    <row r="290" spans="1:7" x14ac:dyDescent="0.3">
      <c r="A290">
        <v>1244</v>
      </c>
      <c r="B290" s="3">
        <v>46198</v>
      </c>
      <c r="C290" t="s">
        <v>15</v>
      </c>
      <c r="D290" t="s">
        <v>12</v>
      </c>
      <c r="E290">
        <v>8</v>
      </c>
      <c r="F290">
        <v>58661.23</v>
      </c>
      <c r="G290">
        <v>469289.84</v>
      </c>
    </row>
    <row r="291" spans="1:7" x14ac:dyDescent="0.3">
      <c r="A291">
        <v>1229</v>
      </c>
      <c r="B291" s="3">
        <v>46198</v>
      </c>
      <c r="C291" t="s">
        <v>7</v>
      </c>
      <c r="D291" t="s">
        <v>8</v>
      </c>
      <c r="E291">
        <v>4</v>
      </c>
      <c r="F291">
        <v>944.42</v>
      </c>
      <c r="G291">
        <v>3777.68</v>
      </c>
    </row>
    <row r="292" spans="1:7" x14ac:dyDescent="0.3">
      <c r="A292">
        <v>1267</v>
      </c>
      <c r="B292" s="3">
        <v>46198</v>
      </c>
      <c r="C292" t="s">
        <v>16</v>
      </c>
      <c r="D292" t="s">
        <v>8</v>
      </c>
      <c r="E292">
        <v>6</v>
      </c>
      <c r="F292">
        <v>1368.17</v>
      </c>
      <c r="G292">
        <v>8209.02</v>
      </c>
    </row>
    <row r="293" spans="1:7" x14ac:dyDescent="0.3">
      <c r="A293">
        <v>1293</v>
      </c>
      <c r="B293" s="3">
        <v>46198</v>
      </c>
      <c r="C293" t="s">
        <v>17</v>
      </c>
      <c r="D293" t="s">
        <v>10</v>
      </c>
      <c r="E293">
        <v>2</v>
      </c>
      <c r="F293">
        <v>11018.94</v>
      </c>
      <c r="G293">
        <v>22037.88</v>
      </c>
    </row>
    <row r="294" spans="1:7" x14ac:dyDescent="0.3">
      <c r="A294">
        <v>1083</v>
      </c>
      <c r="B294" s="3">
        <v>46199</v>
      </c>
      <c r="C294" t="s">
        <v>14</v>
      </c>
      <c r="D294" t="s">
        <v>12</v>
      </c>
      <c r="E294">
        <v>1</v>
      </c>
      <c r="F294">
        <v>19204.54</v>
      </c>
      <c r="G294">
        <v>19204.54</v>
      </c>
    </row>
    <row r="295" spans="1:7" x14ac:dyDescent="0.3">
      <c r="A295">
        <v>1039</v>
      </c>
      <c r="B295" s="3">
        <v>46199</v>
      </c>
      <c r="C295" t="s">
        <v>13</v>
      </c>
      <c r="D295" t="s">
        <v>8</v>
      </c>
      <c r="E295">
        <v>5</v>
      </c>
      <c r="F295">
        <v>2449.5</v>
      </c>
      <c r="G295">
        <v>12247.5</v>
      </c>
    </row>
    <row r="296" spans="1:7" x14ac:dyDescent="0.3">
      <c r="A296">
        <v>1193</v>
      </c>
      <c r="B296" s="3">
        <v>46199</v>
      </c>
      <c r="C296" t="s">
        <v>7</v>
      </c>
      <c r="D296" t="s">
        <v>8</v>
      </c>
      <c r="E296">
        <v>7</v>
      </c>
      <c r="F296">
        <v>979.68</v>
      </c>
      <c r="G296">
        <v>6857.76</v>
      </c>
    </row>
    <row r="297" spans="1:7" x14ac:dyDescent="0.3">
      <c r="A297">
        <v>1231</v>
      </c>
      <c r="B297" s="3">
        <v>46200</v>
      </c>
      <c r="C297" t="s">
        <v>7</v>
      </c>
      <c r="D297" t="s">
        <v>8</v>
      </c>
      <c r="E297">
        <v>1</v>
      </c>
      <c r="F297">
        <v>818.28</v>
      </c>
      <c r="G297">
        <v>818.28</v>
      </c>
    </row>
    <row r="298" spans="1:7" x14ac:dyDescent="0.3">
      <c r="A298">
        <v>1202</v>
      </c>
      <c r="B298" s="3">
        <v>46200</v>
      </c>
      <c r="C298" t="s">
        <v>17</v>
      </c>
      <c r="D298" t="s">
        <v>10</v>
      </c>
      <c r="E298">
        <v>5</v>
      </c>
      <c r="F298">
        <v>12390.2</v>
      </c>
      <c r="G298">
        <v>61951</v>
      </c>
    </row>
    <row r="299" spans="1:7" x14ac:dyDescent="0.3">
      <c r="A299">
        <v>1119</v>
      </c>
      <c r="B299" s="3">
        <v>46201</v>
      </c>
      <c r="C299" t="s">
        <v>17</v>
      </c>
      <c r="D299" t="s">
        <v>10</v>
      </c>
      <c r="E299">
        <v>1</v>
      </c>
      <c r="F299">
        <v>12137.77</v>
      </c>
      <c r="G299">
        <v>12137.77</v>
      </c>
    </row>
    <row r="300" spans="1:7" x14ac:dyDescent="0.3">
      <c r="A300">
        <v>1091</v>
      </c>
      <c r="B300" s="3">
        <v>46202</v>
      </c>
      <c r="C300" t="s">
        <v>11</v>
      </c>
      <c r="D300" t="s">
        <v>12</v>
      </c>
      <c r="E300">
        <v>7</v>
      </c>
      <c r="F300">
        <v>23637.53</v>
      </c>
      <c r="G300">
        <v>165462.71</v>
      </c>
    </row>
    <row r="301" spans="1:7" x14ac:dyDescent="0.3">
      <c r="A301">
        <v>1161</v>
      </c>
      <c r="B301" s="3">
        <v>46202</v>
      </c>
      <c r="C301" t="s">
        <v>7</v>
      </c>
      <c r="D301" t="s">
        <v>8</v>
      </c>
      <c r="E301">
        <v>1</v>
      </c>
      <c r="F301">
        <v>902.99</v>
      </c>
      <c r="G301">
        <v>902.99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91AF-BFAA-444D-AA91-69B03F7B5166}">
  <dimension ref="A1:N9"/>
  <sheetViews>
    <sheetView workbookViewId="0">
      <selection activeCell="N2" sqref="N2"/>
    </sheetView>
  </sheetViews>
  <sheetFormatPr defaultRowHeight="14.4" x14ac:dyDescent="0.3"/>
  <cols>
    <col min="1" max="1" width="13" customWidth="1"/>
    <col min="2" max="2" width="15.77734375" customWidth="1"/>
    <col min="4" max="4" width="9.21875" customWidth="1"/>
    <col min="5" max="5" width="9.77734375" bestFit="1" customWidth="1"/>
    <col min="7" max="7" width="10.88671875" bestFit="1" customWidth="1"/>
    <col min="8" max="8" width="9.77734375" bestFit="1" customWidth="1"/>
    <col min="14" max="14" width="10.5546875" bestFit="1" customWidth="1"/>
  </cols>
  <sheetData>
    <row r="1" spans="1:14" x14ac:dyDescent="0.3">
      <c r="A1" s="15" t="s">
        <v>18</v>
      </c>
      <c r="B1" s="15"/>
      <c r="D1" s="6" t="s">
        <v>23</v>
      </c>
      <c r="E1" s="6" t="s">
        <v>19</v>
      </c>
      <c r="G1" s="6" t="s">
        <v>3</v>
      </c>
      <c r="H1" s="6" t="s">
        <v>19</v>
      </c>
      <c r="M1" s="5" t="s">
        <v>2</v>
      </c>
      <c r="N1" s="5" t="s">
        <v>19</v>
      </c>
    </row>
    <row r="2" spans="1:14" x14ac:dyDescent="0.3">
      <c r="A2" s="5" t="s">
        <v>19</v>
      </c>
      <c r="B2" s="4">
        <f>SUM('Sales Data'!G:G)</f>
        <v>18372785.940000005</v>
      </c>
      <c r="D2" t="s">
        <v>24</v>
      </c>
      <c r="E2">
        <f>SUMIFS('Sales Data'!$G:$G,'Sales Data'!$B:$B,"&gt;="&amp;DATE(2026,1,1),'Sales Data'!$B:$B,"&lt;"&amp;DATE(2026,2,1))</f>
        <v>3687420.7400000007</v>
      </c>
      <c r="G2" t="s">
        <v>12</v>
      </c>
      <c r="H2">
        <f>SUMIF('Sales Data'!$D:$D,G2,'Sales Data'!$G:$G)</f>
        <v>14304649.160000006</v>
      </c>
      <c r="M2" s="4" t="s">
        <v>15</v>
      </c>
      <c r="N2" s="4">
        <f>SUMIF('Sales Data'!$C:$C,M2,'Sales Data'!$G:$G)</f>
        <v>8254867.5699999975</v>
      </c>
    </row>
    <row r="3" spans="1:14" x14ac:dyDescent="0.3">
      <c r="A3" s="5" t="s">
        <v>20</v>
      </c>
      <c r="B3" s="4">
        <f>SUM('Sales Data'!E:E)</f>
        <v>1380</v>
      </c>
      <c r="D3" t="s">
        <v>25</v>
      </c>
      <c r="E3">
        <f>SUMIFS('Sales Data'!$G:$G,'Sales Data'!$B:$B,"&gt;="&amp;DATE(2026,2,1),'Sales Data'!$B:$B,"&lt;"&amp;DATE(2026,3,1))</f>
        <v>2407105.9700000007</v>
      </c>
      <c r="G3" t="s">
        <v>10</v>
      </c>
      <c r="H3">
        <f>SUMIF('Sales Data'!$D:$D,G3,'Sales Data'!$G:$G)</f>
        <v>3078949.4499999997</v>
      </c>
      <c r="M3" s="4" t="s">
        <v>11</v>
      </c>
      <c r="N3" s="4">
        <f>SUMIF('Sales Data'!$C:$C,M3,'Sales Data'!$G:$G)</f>
        <v>3880322.54</v>
      </c>
    </row>
    <row r="4" spans="1:14" x14ac:dyDescent="0.3">
      <c r="A4" s="5" t="s">
        <v>21</v>
      </c>
      <c r="B4" s="4">
        <f>COUNTA('Sales Data'!A:A)-1</f>
        <v>300</v>
      </c>
      <c r="D4" t="s">
        <v>26</v>
      </c>
      <c r="E4">
        <f>SUMIFS('Sales Data'!$G:$G,'Sales Data'!$B:$B,"&gt;="&amp;DATE(2026,3,1),'Sales Data'!$B:$B,"&lt;"&amp;DATE(2026,4,1))</f>
        <v>3029946.6199999996</v>
      </c>
      <c r="G4" t="s">
        <v>8</v>
      </c>
      <c r="H4">
        <f>SUMIF('Sales Data'!$D:$D,G4,'Sales Data'!$G:$G)</f>
        <v>989187.33000000007</v>
      </c>
      <c r="M4" s="4" t="s">
        <v>14</v>
      </c>
      <c r="N4" s="4">
        <f>SUMIF('Sales Data'!$C:$C,M4,'Sales Data'!$G:$G)</f>
        <v>2169459.0500000003</v>
      </c>
    </row>
    <row r="5" spans="1:14" ht="28.8" x14ac:dyDescent="0.3">
      <c r="A5" s="5" t="s">
        <v>22</v>
      </c>
      <c r="B5" s="4">
        <f>AVERAGE('Sales Data'!G:G)</f>
        <v>61242.619800000015</v>
      </c>
      <c r="D5" t="s">
        <v>27</v>
      </c>
      <c r="E5">
        <f>SUMIFS('Sales Data'!$G:$G,'Sales Data'!$B:$B,"&gt;="&amp;DATE(2026,4,1),'Sales Data'!$B:$B,"&lt;"&amp;DATE(2026,5,1))</f>
        <v>3255909.350000001</v>
      </c>
      <c r="M5" s="4" t="s">
        <v>13</v>
      </c>
      <c r="N5" s="4">
        <f>SUMIF('Sales Data'!$C:$C,M5,'Sales Data'!$G:$G)</f>
        <v>469438.64000000007</v>
      </c>
    </row>
    <row r="6" spans="1:14" x14ac:dyDescent="0.3">
      <c r="A6" s="4"/>
      <c r="B6" s="4"/>
      <c r="D6" t="s">
        <v>28</v>
      </c>
      <c r="E6">
        <f>SUMIFS('Sales Data'!$G:$G,'Sales Data'!$B:$B,"&gt;="&amp;DATE(2026,5,1),'Sales Data'!$B:$B,"&lt;"&amp;DATE(2026,6,1))</f>
        <v>3160555.6499999994</v>
      </c>
      <c r="M6" s="4" t="s">
        <v>7</v>
      </c>
      <c r="N6" s="4">
        <f>SUMIF('Sales Data'!$C:$C,M6,'Sales Data'!$G:$G)</f>
        <v>220975.21000000002</v>
      </c>
    </row>
    <row r="7" spans="1:14" x14ac:dyDescent="0.3">
      <c r="D7" t="s">
        <v>29</v>
      </c>
      <c r="E7">
        <f>SUMIFS('Sales Data'!$G:$G,'Sales Data'!$B:$B,"&gt;="&amp;DATE(2026,6,1),'Sales Data'!$B:$B,"&lt;"&amp;DATE(2026,7,1))</f>
        <v>2831847.61</v>
      </c>
      <c r="M7" s="4" t="s">
        <v>16</v>
      </c>
      <c r="N7" s="4">
        <f>SUMIF('Sales Data'!$C:$C,M7,'Sales Data'!$G:$G)</f>
        <v>298773.48</v>
      </c>
    </row>
    <row r="8" spans="1:14" ht="28.8" x14ac:dyDescent="0.3">
      <c r="M8" s="4" t="s">
        <v>9</v>
      </c>
      <c r="N8" s="4">
        <f>SUMIF('Sales Data'!$C:$C,M8,'Sales Data'!$G:$G)</f>
        <v>1450840.7900000003</v>
      </c>
    </row>
    <row r="9" spans="1:14" x14ac:dyDescent="0.3">
      <c r="M9" s="4" t="s">
        <v>17</v>
      </c>
      <c r="N9" s="4">
        <f>SUMIF('Sales Data'!$C:$C,M9,'Sales Data'!$G:$G)</f>
        <v>1628108.6600000004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8F41-C65F-429A-9348-F4D113A14E99}">
  <dimension ref="B2:C7"/>
  <sheetViews>
    <sheetView tabSelected="1" workbookViewId="0">
      <selection activeCell="S8" sqref="S8"/>
    </sheetView>
  </sheetViews>
  <sheetFormatPr defaultRowHeight="14.4" x14ac:dyDescent="0.3"/>
  <cols>
    <col min="2" max="2" width="25.109375" bestFit="1" customWidth="1"/>
    <col min="3" max="3" width="12.88671875" bestFit="1" customWidth="1"/>
  </cols>
  <sheetData>
    <row r="2" spans="2:3" ht="31.2" x14ac:dyDescent="0.6">
      <c r="B2" s="7" t="s">
        <v>30</v>
      </c>
    </row>
    <row r="3" spans="2:3" ht="15" thickBot="1" x14ac:dyDescent="0.35"/>
    <row r="4" spans="2:3" x14ac:dyDescent="0.3">
      <c r="B4" s="8" t="s">
        <v>19</v>
      </c>
      <c r="C4" s="9">
        <v>18372785.940000001</v>
      </c>
    </row>
    <row r="5" spans="2:3" x14ac:dyDescent="0.3">
      <c r="B5" s="10" t="s">
        <v>20</v>
      </c>
      <c r="C5" s="11">
        <v>1380</v>
      </c>
    </row>
    <row r="6" spans="2:3" x14ac:dyDescent="0.3">
      <c r="B6" s="10" t="s">
        <v>21</v>
      </c>
      <c r="C6" s="12">
        <v>300</v>
      </c>
    </row>
    <row r="7" spans="2:3" ht="15" thickBot="1" x14ac:dyDescent="0.35">
      <c r="B7" s="13" t="s">
        <v>31</v>
      </c>
      <c r="C7" s="14">
        <v>61242.62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srivastav</cp:lastModifiedBy>
  <dcterms:created xsi:type="dcterms:W3CDTF">2026-10-02T16:04:19Z</dcterms:created>
  <dcterms:modified xsi:type="dcterms:W3CDTF">2026-10-05T18:09:08Z</dcterms:modified>
</cp:coreProperties>
</file>